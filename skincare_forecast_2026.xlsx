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Music\Harsha K\Upwork\Project\Forecast\"/>
    </mc:Choice>
  </mc:AlternateContent>
  <xr:revisionPtr revIDLastSave="0" documentId="13_ncr:1_{2DD583D8-4210-43E8-93E8-B6D4A7E6644C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📊 Forecast Dashboard" sheetId="1" r:id="rId1"/>
    <sheet name="🌊 Seasonality Heatmap" sheetId="2" r:id="rId2"/>
    <sheet name="⚠️ Stockout Intelligence" sheetId="3" r:id="rId3"/>
    <sheet name="📦 Category Summary" sheetId="4" r:id="rId4"/>
    <sheet name="📈 Charts" sheetId="5" r:id="rId5"/>
    <sheet name="📋 Full Methodolog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3" l="1"/>
  <c r="F24" i="3"/>
  <c r="AF25" i="1"/>
  <c r="AE25" i="1"/>
  <c r="AD25" i="1"/>
  <c r="AC25" i="1"/>
  <c r="AB25" i="1"/>
  <c r="AA25" i="1"/>
  <c r="Z25" i="1"/>
  <c r="Y25" i="1"/>
  <c r="X25" i="1"/>
  <c r="W25" i="1"/>
  <c r="V25" i="1"/>
  <c r="U25" i="1"/>
  <c r="P25" i="1"/>
  <c r="L25" i="1"/>
  <c r="K25" i="1"/>
  <c r="J25" i="1"/>
  <c r="I25" i="1"/>
  <c r="G25" i="1"/>
  <c r="F25" i="1"/>
  <c r="E25" i="1"/>
</calcChain>
</file>

<file path=xl/sharedStrings.xml><?xml version="1.0" encoding="utf-8"?>
<sst xmlns="http://schemas.openxmlformats.org/spreadsheetml/2006/main" count="558" uniqueCount="255">
  <si>
    <t>🌿  SKINCARE PRODUCT DEMAND FORECAST 2026  |  20 SKUs  |  Demand-Based Blended Model</t>
  </si>
  <si>
    <t>Forecast uses DEMAND QTY (not Sales) to eliminate stockout suppression bias  |  Blended: 60% WMA + 40% Holt's Double Exponential Smoothing  |  Monthly split via Seasonality Index</t>
  </si>
  <si>
    <t>SKU INFO</t>
  </si>
  <si>
    <t>HISTORICAL DEMAND + MODELS</t>
  </si>
  <si>
    <t>REV FCST</t>
  </si>
  <si>
    <t>STOCKOUT INTEL</t>
  </si>
  <si>
    <t>INVENTORY</t>
  </si>
  <si>
    <t>MONTHLY FORECAST 2026 (JAN-DEC)</t>
  </si>
  <si>
    <t>SKU</t>
  </si>
  <si>
    <t>Product</t>
  </si>
  <si>
    <t>Category</t>
  </si>
  <si>
    <t>Unit
Price</t>
  </si>
  <si>
    <t>2023</t>
  </si>
  <si>
    <t>2024</t>
  </si>
  <si>
    <t>2025</t>
  </si>
  <si>
    <t>WMA
Growth</t>
  </si>
  <si>
    <t>WMA
Fcst</t>
  </si>
  <si>
    <t>Holt
Fcst</t>
  </si>
  <si>
    <t>Blend
Fcst</t>
  </si>
  <si>
    <t>2026
Rev $</t>
  </si>
  <si>
    <t>Stockout
%</t>
  </si>
  <si>
    <t>Fill
Rate</t>
  </si>
  <si>
    <t>Lost
Units</t>
  </si>
  <si>
    <t>Lost
Rev $</t>
  </si>
  <si>
    <t>Trend</t>
  </si>
  <si>
    <t>Safety
Stk</t>
  </si>
  <si>
    <t>ROP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</si>
  <si>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</si>
  <si>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</si>
  <si>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</si>
  <si>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</si>
  <si>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</si>
  <si>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</si>
  <si>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</si>
  <si>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</si>
  <si>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</si>
  <si>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</si>
  <si>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</si>
  <si>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SK001</t>
  </si>
  <si>
    <t>Face Wash</t>
  </si>
  <si>
    <t>Cleanser</t>
  </si>
  <si>
    <t>➡️ Stable</t>
  </si>
  <si>
    <t>SK002</t>
  </si>
  <si>
    <t>Moisturizer</t>
  </si>
  <si>
    <t>Hydration</t>
  </si>
  <si>
    <t>SK003</t>
  </si>
  <si>
    <t>Sunscreen SPF50</t>
  </si>
  <si>
    <t>Protection</t>
  </si>
  <si>
    <t>SK004</t>
  </si>
  <si>
    <t>Night Cream</t>
  </si>
  <si>
    <t>Treatment</t>
  </si>
  <si>
    <t>📈 Growing</t>
  </si>
  <si>
    <t>SK005</t>
  </si>
  <si>
    <t>Serum Vitamin C</t>
  </si>
  <si>
    <t>SK006</t>
  </si>
  <si>
    <t>Anti-Aging Cream</t>
  </si>
  <si>
    <t>SK007</t>
  </si>
  <si>
    <t>Face Toner</t>
  </si>
  <si>
    <t>SK008</t>
  </si>
  <si>
    <t>Body Lotion</t>
  </si>
  <si>
    <t>SK009</t>
  </si>
  <si>
    <t>Lip Balm</t>
  </si>
  <si>
    <t>Care</t>
  </si>
  <si>
    <t>📉 Declining</t>
  </si>
  <si>
    <t>SK010</t>
  </si>
  <si>
    <t>Eye Cream</t>
  </si>
  <si>
    <t>SK011</t>
  </si>
  <si>
    <t>Acne Gel</t>
  </si>
  <si>
    <t>SK012</t>
  </si>
  <si>
    <t>Sheet Mask</t>
  </si>
  <si>
    <t>Mask</t>
  </si>
  <si>
    <t>SK013</t>
  </si>
  <si>
    <t>Face Scrub</t>
  </si>
  <si>
    <t>Exfoliation</t>
  </si>
  <si>
    <t>SK014</t>
  </si>
  <si>
    <t>BB Cream</t>
  </si>
  <si>
    <t>Makeup</t>
  </si>
  <si>
    <t>🚀 Strong Growth</t>
  </si>
  <si>
    <t>SK015</t>
  </si>
  <si>
    <t>CC Cream</t>
  </si>
  <si>
    <t>SK016</t>
  </si>
  <si>
    <t>Hand Cream</t>
  </si>
  <si>
    <t>SK017</t>
  </si>
  <si>
    <t>Foot Cream</t>
  </si>
  <si>
    <t>SK018</t>
  </si>
  <si>
    <t>Face Oil</t>
  </si>
  <si>
    <t>SK019</t>
  </si>
  <si>
    <t>Clay Mask</t>
  </si>
  <si>
    <t>SK020</t>
  </si>
  <si>
    <t>Hydrating Mist</t>
  </si>
  <si>
    <t>TOTAL</t>
  </si>
  <si>
    <t>SEASONALITY INDEX — Monthly Demand Pattern per SKU (2023–2025 Average)</t>
  </si>
  <si>
    <t>SI = Avg Monthly Demand / Overall Monthly Avg  |  &gt;1.0 = Above-average demand month  |  Computed on DEMAND QTY to eliminate stockout bias from seasonal pattern</t>
  </si>
  <si>
    <t>Product Name</t>
  </si>
  <si>
    <t>Dec</t>
  </si>
  <si>
    <t>Peak
Month</t>
  </si>
  <si>
    <t>Trough
Month</t>
  </si>
  <si>
    <t>LEGEND</t>
  </si>
  <si>
    <t>&gt;=1.30</t>
  </si>
  <si>
    <t>Very High</t>
  </si>
  <si>
    <t>1.15-1.30</t>
  </si>
  <si>
    <t>High</t>
  </si>
  <si>
    <t>1.05-1.15</t>
  </si>
  <si>
    <t>Above Avg</t>
  </si>
  <si>
    <t>0.95-1.05</t>
  </si>
  <si>
    <t>Average</t>
  </si>
  <si>
    <t>0.85-0.95</t>
  </si>
  <si>
    <t>Below Avg</t>
  </si>
  <si>
    <t>&lt;=0.85</t>
  </si>
  <si>
    <t>Low</t>
  </si>
  <si>
    <t>STOCKOUT ANALYSIS &amp; LOST REVENUE INTELLIGENCE (2023–2025)</t>
  </si>
  <si>
    <t>Stockout = Month where Demand &gt; Stock Available  |  Lost Units = Demand − Sales  |  Lost Revenue = Lost Units × Avg Unit Price  |  Sorted by Stockout Rate (highest first)</t>
  </si>
  <si>
    <t>Stockout
Rate %</t>
  </si>
  <si>
    <t>Avg Fill
Rate %</t>
  </si>
  <si>
    <t>Lost Units
(3yr Total)</t>
  </si>
  <si>
    <t>Lost Revenue
(3yr Estim)</t>
  </si>
  <si>
    <t>Safety
Stock (95%)</t>
  </si>
  <si>
    <t>Reorder
Point</t>
  </si>
  <si>
    <t>CATEGORY-LEVEL DEMAND FORECAST &amp; PERFORMANCE SUMMARY 2026</t>
  </si>
  <si>
    <t># SKUs</t>
  </si>
  <si>
    <t>2023 Demand</t>
  </si>
  <si>
    <t>2024 Demand</t>
  </si>
  <si>
    <t>2025 Demand</t>
  </si>
  <si>
    <t>2026 Forecast</t>
  </si>
  <si>
    <t>YoY Growth</t>
  </si>
  <si>
    <t>Avg Stockout%</t>
  </si>
  <si>
    <t>Avg Fill Rate</t>
  </si>
  <si>
    <t>VISUAL ANALYTICS — DEMAND FORECAST CHARTS</t>
  </si>
  <si>
    <t>CHART 1: Demand History &amp; 2026 Forecast by Product</t>
  </si>
  <si>
    <t>CHART 2: Stockout Rate &amp; Fill Rate</t>
  </si>
  <si>
    <t>CHART 3: Avg Seasonality Index (All SKUs)</t>
  </si>
  <si>
    <t>CHART 4: Lost Revenue by SKU (3yr)</t>
  </si>
  <si>
    <t>2026 Fcst</t>
  </si>
  <si>
    <t>Stockout%</t>
  </si>
  <si>
    <t>Fill Rate%</t>
  </si>
  <si>
    <t>Month</t>
  </si>
  <si>
    <t>Avg SI</t>
  </si>
  <si>
    <t>Lost Rev $</t>
  </si>
  <si>
    <t>COMPLETE STEP-BY-STEP FORECAST METHODOLOGY — EVERY DECISION DOCUMENTED</t>
  </si>
  <si>
    <t>This tab documents every analytical decision, formula, assumption, and validation step used to produce the 2026 skincare demand forecast</t>
  </si>
  <si>
    <t xml:space="preserve">  1. DATA FOUNDATION &amp; PRE-PROCESSING</t>
  </si>
  <si>
    <t>Dataset</t>
  </si>
  <si>
    <t>720 rows × 11 columns: Year (2023-2025), Month (Jan-Dec), SKU (20 products), Demand Qty, Stock Available, Sales Qty, Stockout flag (Yes/No), Unit Price, Revenue</t>
  </si>
  <si>
    <t>Critical Insight</t>
  </si>
  <si>
    <t>Sales Qty is CAPPED by Stock Available during stockouts. Using Sales for forecasting creates systematic under-forecasting of high-demand SKUs — the stockout suppression bias.</t>
  </si>
  <si>
    <t>Core Decision</t>
  </si>
  <si>
    <t>ALL forecasting uses DEMAND QTY as the true signal, not Sales Qty. Demand = actual customer need; Sales = what we fulfilled.</t>
  </si>
  <si>
    <t>Data Validation</t>
  </si>
  <si>
    <t>720 rows = 20 SKUs × 3 years × 12 months. No gaps detected. Unit prices averaged per SKU (3yr average used for revenue calculations).</t>
  </si>
  <si>
    <t>Lost Sales</t>
  </si>
  <si>
    <t>Lost Units = Demand Qty − Sales Qty per month. Aggregated to 3yr total per SKU. Lost Revenue = Lost Units × Avg Unit Price.</t>
  </si>
  <si>
    <t xml:space="preserve">  2. SEASONALITY INDEX</t>
  </si>
  <si>
    <t>Formula</t>
  </si>
  <si>
    <t>SI(sku, month) = Mean Monthly Demand(sku, month over all years) ÷ Mean Monthly Demand(sku, all months &amp; years)</t>
  </si>
  <si>
    <t>Why demand-based</t>
  </si>
  <si>
    <t>Using Sales Qty for SI would give artificially low indices for peak months where stockouts hit hardest, distorting seasonal planning exactly when it matters most.</t>
  </si>
  <si>
    <t>Averaging method</t>
  </si>
  <si>
    <t>3-year average (2023-2025) per SKU per month. Smooths year-specific anomalies into a stable, representative seasonal pattern.</t>
  </si>
  <si>
    <t>Interpretation</t>
  </si>
  <si>
    <t>SI=1.25 → that month typically runs 25% above annual average. SI=0.80 → 20% below. All 12 SIs sum to 12.0 by construction.</t>
  </si>
  <si>
    <t>Color coding</t>
  </si>
  <si>
    <t>≥1.30=Very High (dark teal)  |  1.15-1.30=High (teal)  |  1.05-1.15=Above avg  |  0.95-1.05=Average  |  0.85-0.95=Below avg  |  ≤0.85=Low/Very Low (red)</t>
  </si>
  <si>
    <t xml:space="preserve">  3. WEIGHTED MOVING AVERAGE (WMA) MODEL</t>
  </si>
  <si>
    <t>Purpose</t>
  </si>
  <si>
    <t>Captures recent demand trajectory with more weight on recent years vs older data, reflecting changing market dynamics.</t>
  </si>
  <si>
    <t>Growth Rate 1</t>
  </si>
  <si>
    <t>g(23→24) = (Demand_2024 − Demand_2023) / Demand_2023</t>
  </si>
  <si>
    <t>Growth Rate 2</t>
  </si>
  <si>
    <t>g(24→25) = (Demand_2025 − Demand_2024) / Demand_2024  [most recent, gets highest weight]</t>
  </si>
  <si>
    <t>WMA Formula</t>
  </si>
  <si>
    <t>WMA_Growth = g(24→25) × 0.60 + g(23→24) × 0.40</t>
  </si>
  <si>
    <t>Logic Cap</t>
  </si>
  <si>
    <t>WMA_Growth capped: max(−20%, min(+25%, WMA_Growth)). Prevents extreme one-year anomalies from producing impossible forecasts.</t>
  </si>
  <si>
    <t>WMA Forecast</t>
  </si>
  <si>
    <t>WMA_Forecast_2026 = Demand_2025 × (1 + WMA_Growth_capped)</t>
  </si>
  <si>
    <t>Why WMA</t>
  </si>
  <si>
    <t>Simple 3yr avg treats 2023 equally to 2025. Skincare trends shift quickly. Recency weighting is more defensible.</t>
  </si>
  <si>
    <t xml:space="preserve">  4. HOLT'S DOUBLE EXPONENTIAL SMOOTHING</t>
  </si>
  <si>
    <t>Models both the level (current demand magnitude) AND the trend (direction of change). Captures momentum that WMA misses.</t>
  </si>
  <si>
    <t>Parameters</t>
  </si>
  <si>
    <t>α = 0.50 (level smoothing, higher=more reactive)  |  β = 0.30 (trend smoothing)</t>
  </si>
  <si>
    <t>Initialization</t>
  </si>
  <si>
    <t>L₀ = Demand_2023  |  T₀ = Demand_2024 − Demand_2023</t>
  </si>
  <si>
    <t>Level Equation</t>
  </si>
  <si>
    <t>L_t = α × Demand_t + (1−α) × (L_{t−1} + T_{t−1})</t>
  </si>
  <si>
    <t>Trend Equation</t>
  </si>
  <si>
    <t>T_t = β × (L_t − L_{t−1}) + (1−β) × T_{t−1}</t>
  </si>
  <si>
    <t>Forecast</t>
  </si>
  <si>
    <t>Holt_Forecast_2026 = L₂₀₂₅ + T₂₀₂₅  [project one step ahead: level + trend]</t>
  </si>
  <si>
    <t>Why Holt's</t>
  </si>
  <si>
    <t>WMA uses growth rates between years only. Holt's models actual level and momentum — more sensitive to acceleration or deceleration.</t>
  </si>
  <si>
    <t xml:space="preserve">  5. BLENDED FORECAST (FINAL ANNUAL)</t>
  </si>
  <si>
    <t>Blend_Forecast_2026 = WMA_Forecast × 0.60 + Holt_Forecast × 0.40</t>
  </si>
  <si>
    <t>Rationale</t>
  </si>
  <si>
    <t>Model blending is a best practice in demand planning — no single model consistently outperforms. WMA gets 60% weight (more interpretable, grounded in recent actuals). Holt adds trend intelligence.</t>
  </si>
  <si>
    <t>Example</t>
  </si>
  <si>
    <t>WMA says 2,000 and Holt says 1,800 → Blend = 2,000×0.6 + 1,800×0.4 = 1,920</t>
  </si>
  <si>
    <t xml:space="preserve">  6. MONTHLY FORECAST DISTRIBUTION</t>
  </si>
  <si>
    <t>Monthly_Forecast(month) = Blend_Forecast × SI(month) / 12</t>
  </si>
  <si>
    <t>Logic</t>
  </si>
  <si>
    <t>Annual total split across 12 months using SI. Month with SI=1.30 gets 1.30/12 = 10.8% of annual demand vs flat 1/12 = 8.3%.</t>
  </si>
  <si>
    <t>Validation</t>
  </si>
  <si>
    <t>Sum of 12 monthly forecasts ≈ Annual Blend (±rounding). Verify by checking that monthly column SUM = annual Blend total.</t>
  </si>
  <si>
    <t xml:space="preserve">  7. SAFETY STOCK (95% Service Level)</t>
  </si>
  <si>
    <t>Safety_Stock = Z × σ × √(Lead_Time)  where Z=1.645 (95th pct), σ=std dev of monthly demand, Lead_Time=1 month</t>
  </si>
  <si>
    <t>Buffer to absorb demand variability between replenishment cycles. Prevents stockouts when actual demand exceeds forecast.</t>
  </si>
  <si>
    <t>95% Service Level</t>
  </si>
  <si>
    <t>Expect to avoid stockout in 95% of replenishment cycles (≈19 out of 20 months).</t>
  </si>
  <si>
    <t>Floor</t>
  </si>
  <si>
    <t>Min safety stock = 10 units. Prevents near-zero values for low-variance SKUs.</t>
  </si>
  <si>
    <t xml:space="preserve">  8. REORDER POINT (ROP)</t>
  </si>
  <si>
    <t>ROP = Avg Monthly Demand × Lead_Time + Safety_Stock</t>
  </si>
  <si>
    <t>Meaning</t>
  </si>
  <si>
    <t>When inventory falls to ROP, place a replenishment order. Stock will reach Safety_Stock level by arrival time.</t>
  </si>
  <si>
    <t>Lead Time Assumption</t>
  </si>
  <si>
    <t>1 month assumed for all SKUs. Must be updated to actual supplier lead times for production use.</t>
  </si>
  <si>
    <t xml:space="preserve">  9. REVENUE FORECAST</t>
  </si>
  <si>
    <t>Revenue_Forecast_2026 = Blend_Forecast × Avg Unit Price per SKU</t>
  </si>
  <si>
    <t>Price Assumption</t>
  </si>
  <si>
    <t>Unit Price held constant at 3yr average. No inflation, discount, or promotional pricing modeled.</t>
  </si>
  <si>
    <t xml:space="preserve">  10. TREND SIGNALS</t>
  </si>
  <si>
    <t>WMA Growth &gt; +12% → Priority SKU: increase stock, review safety stock upward</t>
  </si>
  <si>
    <t>+4% to +12% → Gradually increase order quantities</t>
  </si>
  <si>
    <t>−4% to +4% → Maintain current ordering strategy</t>
  </si>
  <si>
    <t>−12% to −4% → Monitor; consider reducing safety stock</t>
  </si>
  <si>
    <t>⚠️ Sharp Decline</t>
  </si>
  <si>
    <t>&lt; −12% → Investigate root cause; obsolescence risk</t>
  </si>
  <si>
    <t xml:space="preserve">  11. STOCKOUT INTELLIGENCE METRICS</t>
  </si>
  <si>
    <t>Stockout Rate</t>
  </si>
  <si>
    <t>% of months (out of 36) where Stock Out (Yes/No) = 'Yes' per SKU</t>
  </si>
  <si>
    <t>Fill Rate</t>
  </si>
  <si>
    <t>Avg(Sales Qty / Demand Qty) per SKU. Measures service level quality.</t>
  </si>
  <si>
    <t>Lost Units (3yr)</t>
  </si>
  <si>
    <t>Sum of (Demand − Sales) over all 36 months. = Unmet demand volume.</t>
  </si>
  <si>
    <t>Lost Revenue</t>
  </si>
  <si>
    <t>Lost Units × Avg Unit Price. = Revenue opportunity cost of stockouts.</t>
  </si>
  <si>
    <t>Action</t>
  </si>
  <si>
    <t>High stockout rate + strong growth trend = highest priority for inventory investment</t>
  </si>
  <si>
    <t xml:space="preserve">  12. KEY ASSUMPTIONS &amp; LIMITATIONS</t>
  </si>
  <si>
    <t>Assumption 1</t>
  </si>
  <si>
    <t>No new SKU launches or discontinuations in 2026. Portfolio assumed stable.</t>
  </si>
  <si>
    <t>Assumption 2</t>
  </si>
  <si>
    <t>Market conditions (competition, pricing, trends) broadly stable relative to 2025.</t>
  </si>
  <si>
    <t>Assumption 3</t>
  </si>
  <si>
    <t>2023-2025 seasonal patterns are representative of 2026.</t>
  </si>
  <si>
    <t>Assumption 4</t>
  </si>
  <si>
    <t>Lead time = 1 month for all SKUs. Adjust ROP formula for actual lead times.</t>
  </si>
  <si>
    <t>Assumption 5</t>
  </si>
  <si>
    <t>Unit prices constant at 3yr average. No inflation modeled.</t>
  </si>
  <si>
    <t>Limitation 1</t>
  </si>
  <si>
    <t>Only 3 years of history. More years would improve seasonal and trend estimates significantly.</t>
  </si>
  <si>
    <t>Limitation 2</t>
  </si>
  <si>
    <t>Demand Qty in dataset may itself be an estimate. Model assumes accurate demand capture even during stockouts.</t>
  </si>
  <si>
    <t>Limitation 3</t>
  </si>
  <si>
    <t>External factors (promotions, competitor launches, ingredient trends, seasonality shifts) not modeled.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</si>
</sst>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3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334455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sz val="9"/>
      <color rgb="FF111111"/>
      <name val="Arial"/>
      <charset val="1"/>
    </font>
    <font>
      <b/>
      <sz val="9"/>
      <color rgb="FFB71C1C"/>
      <name val="Arial"/>
      <charset val="1"/>
    </font>
    <font>
      <b/>
      <sz val="9"/>
      <color rgb="FF006064"/>
      <name val="Arial"/>
      <charset val="1"/>
    </font>
    <font>
      <b/>
      <sz val="9"/>
      <color rgb="FF1B5E20"/>
      <name val="Arial"/>
      <charset val="1"/>
    </font>
    <font>
      <b/>
      <sz val="9"/>
      <color rgb="FFF57F17"/>
      <name val="Arial"/>
      <charset val="1"/>
    </font>
    <font>
      <b/>
      <sz val="9"/>
      <color rgb="FFE65100"/>
      <name val="Arial"/>
      <charset val="1"/>
    </font>
    <font>
      <sz val="9"/>
      <color rgb="FF006064"/>
      <name val="Arial"/>
      <charset val="1"/>
    </font>
    <font>
      <b/>
      <sz val="9"/>
      <color rgb="FF1565C0"/>
      <name val="Arial"/>
      <charset val="1"/>
    </font>
    <font>
      <b/>
      <sz val="10"/>
      <color rgb="FFF9A825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9"/>
      <color rgb="FF145A32"/>
      <name val="Arial"/>
      <charset val="1"/>
    </font>
    <font>
      <b/>
      <sz val="9"/>
      <color rgb="FF922B21"/>
      <name val="Arial"/>
      <charset val="1"/>
    </font>
    <font>
      <b/>
      <sz val="10"/>
      <color rgb="FF0D1B2A"/>
      <name val="Arial"/>
      <charset val="1"/>
    </font>
    <font>
      <b/>
      <sz val="9"/>
      <color rgb="FF145A32"/>
      <name val="Arial"/>
      <charset val="1"/>
    </font>
    <font>
      <b/>
      <sz val="9"/>
      <color rgb="FF444444"/>
      <name val="Arial"/>
      <charset val="1"/>
    </font>
    <font>
      <b/>
      <sz val="10"/>
      <color rgb="FFFFFFFF"/>
      <name val="Arial"/>
      <charset val="1"/>
    </font>
    <font>
      <sz val="10"/>
      <color rgb="FF111111"/>
      <name val="Arial"/>
      <charset val="1"/>
    </font>
    <font>
      <b/>
      <sz val="10"/>
      <color rgb="FF111111"/>
      <name val="Arial"/>
      <charset val="1"/>
    </font>
    <font>
      <b/>
      <sz val="10"/>
      <color rgb="FFB71C1C"/>
      <name val="Arial"/>
      <charset val="1"/>
    </font>
    <font>
      <b/>
      <sz val="10"/>
      <color rgb="FF333333"/>
      <name val="Arial"/>
      <charset val="1"/>
    </font>
    <font>
      <b/>
      <sz val="10"/>
      <color rgb="FF1B5E20"/>
      <name val="Arial"/>
      <charset val="1"/>
    </font>
    <font>
      <b/>
      <sz val="10"/>
      <color rgb="FFE65100"/>
      <name val="Arial"/>
      <charset val="1"/>
    </font>
    <font>
      <b/>
      <sz val="10"/>
      <color rgb="FF006064"/>
      <name val="Arial"/>
      <charset val="1"/>
    </font>
    <font>
      <b/>
      <sz val="11"/>
      <color rgb="FFFFFFFF"/>
      <name val="Arial"/>
      <charset val="1"/>
    </font>
  </fonts>
  <fills count="47">
    <fill>
      <patternFill patternType="none"/>
    </fill>
    <fill>
      <patternFill patternType="gray125"/>
    </fill>
    <fill>
      <patternFill patternType="solid">
        <fgColor rgb="FF0D1B2A"/>
        <bgColor rgb="FF111111"/>
      </patternFill>
    </fill>
    <fill>
      <patternFill patternType="solid">
        <fgColor rgb="FFEBF2F8"/>
        <bgColor rgb="FFEBF2FB"/>
      </patternFill>
    </fill>
    <fill>
      <patternFill patternType="solid">
        <fgColor rgb="FF4A148C"/>
        <bgColor rgb="FF333333"/>
      </patternFill>
    </fill>
    <fill>
      <patternFill patternType="solid">
        <fgColor rgb="FF1565C0"/>
        <bgColor rgb="FF1A5276"/>
      </patternFill>
    </fill>
    <fill>
      <patternFill patternType="solid">
        <fgColor rgb="FF006064"/>
        <bgColor rgb="FF1A5276"/>
      </patternFill>
    </fill>
    <fill>
      <patternFill patternType="solid">
        <fgColor rgb="FFE65100"/>
        <bgColor rgb="FFE74C3C"/>
      </patternFill>
    </fill>
    <fill>
      <patternFill patternType="solid">
        <fgColor rgb="FF1B5E20"/>
        <bgColor rgb="FF145A32"/>
      </patternFill>
    </fill>
    <fill>
      <patternFill patternType="solid">
        <fgColor rgb="FFF9A825"/>
        <bgColor rgb="FFF57F17"/>
      </patternFill>
    </fill>
    <fill>
      <patternFill patternType="solid">
        <fgColor rgb="FF00838F"/>
        <bgColor rgb="FF006064"/>
      </patternFill>
    </fill>
    <fill>
      <patternFill patternType="solid">
        <fgColor rgb="FFF5F0FF"/>
        <bgColor rgb="FFEEF2FB"/>
      </patternFill>
    </fill>
    <fill>
      <patternFill patternType="solid">
        <fgColor rgb="FFEBF2FB"/>
        <bgColor rgb="FFEBF2F8"/>
      </patternFill>
    </fill>
    <fill>
      <patternFill patternType="solid">
        <fgColor rgb="FFE8F5FB"/>
        <bgColor rgb="FFEBF2FB"/>
      </patternFill>
    </fill>
    <fill>
      <patternFill patternType="solid">
        <fgColor rgb="FFE0F2F1"/>
        <bgColor rgb="FFE0F7FA"/>
      </patternFill>
    </fill>
    <fill>
      <patternFill patternType="solid">
        <fgColor rgb="FFE8F5E9"/>
        <bgColor rgb="FFE0F2F1"/>
      </patternFill>
    </fill>
    <fill>
      <patternFill patternType="solid">
        <fgColor rgb="FFFFF9C4"/>
        <bgColor rgb="FFFFF8E1"/>
      </patternFill>
    </fill>
    <fill>
      <patternFill patternType="solid">
        <fgColor rgb="FFEEF2FB"/>
        <bgColor rgb="FFEBF2FB"/>
      </patternFill>
    </fill>
    <fill>
      <patternFill patternType="solid">
        <fgColor rgb="FFFFF3E0"/>
        <bgColor rgb="FFFFF8E1"/>
      </patternFill>
    </fill>
    <fill>
      <patternFill patternType="solid">
        <fgColor rgb="FFE0F7FA"/>
        <bgColor rgb="FFE8F5FB"/>
      </patternFill>
    </fill>
    <fill>
      <patternFill patternType="solid">
        <fgColor rgb="FFFAF5FF"/>
        <bgColor rgb="FFF5F7FA"/>
      </patternFill>
    </fill>
    <fill>
      <patternFill patternType="solid">
        <fgColor rgb="FFF5F9FF"/>
        <bgColor rgb="FFF5F7FA"/>
      </patternFill>
    </fill>
    <fill>
      <patternFill patternType="solid">
        <fgColor rgb="FFFFFFFF"/>
        <bgColor rgb="FFFDFEFE"/>
      </patternFill>
    </fill>
    <fill>
      <patternFill patternType="solid">
        <fgColor rgb="FFEAFAF8"/>
        <bgColor rgb="FFF0FBF8"/>
      </patternFill>
    </fill>
    <fill>
      <patternFill patternType="solid">
        <fgColor rgb="FFF1FBF3"/>
        <bgColor rgb="FFF0FBF8"/>
      </patternFill>
    </fill>
    <fill>
      <patternFill patternType="solid">
        <fgColor rgb="FFFFCDD2"/>
        <bgColor rgb="FFFADBD8"/>
      </patternFill>
    </fill>
    <fill>
      <patternFill patternType="solid">
        <fgColor rgb="FFFFFDE7"/>
        <bgColor rgb="FFFFF8E1"/>
      </patternFill>
    </fill>
    <fill>
      <patternFill patternType="solid">
        <fgColor rgb="FFE8FDFF"/>
        <bgColor rgb="FFEAFAF8"/>
      </patternFill>
    </fill>
    <fill>
      <patternFill patternType="solid">
        <fgColor rgb="FFFFE0B2"/>
        <bgColor rgb="FFFADBD8"/>
      </patternFill>
    </fill>
    <fill>
      <patternFill patternType="solid">
        <fgColor rgb="FFF0FBF8"/>
        <bgColor rgb="FFF1FBF3"/>
      </patternFill>
    </fill>
    <fill>
      <patternFill patternType="solid">
        <fgColor rgb="FF1ABC9C"/>
        <bgColor rgb="FF00838F"/>
      </patternFill>
    </fill>
    <fill>
      <patternFill patternType="solid">
        <fgColor rgb="FFE74C3C"/>
        <bgColor rgb="FFE65100"/>
      </patternFill>
    </fill>
    <fill>
      <patternFill patternType="solid">
        <fgColor rgb="FFC03B2E"/>
        <bgColor rgb="FFB71C1C"/>
      </patternFill>
    </fill>
    <fill>
      <patternFill patternType="solid">
        <fgColor rgb="FF1A5276"/>
        <bgColor rgb="FF006064"/>
      </patternFill>
    </fill>
    <fill>
      <patternFill patternType="solid">
        <fgColor rgb="FFA8DEBA"/>
        <bgColor rgb="FFCCCCCC"/>
      </patternFill>
    </fill>
    <fill>
      <patternFill patternType="solid">
        <fgColor rgb="FFFADBD8"/>
        <bgColor rgb="FFFCE4EC"/>
      </patternFill>
    </fill>
    <fill>
      <patternFill patternType="solid">
        <fgColor rgb="FFFDFEFE"/>
        <bgColor rgb="FFFFFFFF"/>
      </patternFill>
    </fill>
    <fill>
      <patternFill patternType="solid">
        <fgColor rgb="FFF0F8F5"/>
        <bgColor rgb="FFF1FBF3"/>
      </patternFill>
    </fill>
    <fill>
      <patternFill patternType="solid">
        <fgColor rgb="FFFCE4EC"/>
        <bgColor rgb="FFFFEBEE"/>
      </patternFill>
    </fill>
    <fill>
      <patternFill patternType="solid">
        <fgColor rgb="FFFFF8E1"/>
        <bgColor rgb="FFFFF3E0"/>
      </patternFill>
    </fill>
    <fill>
      <patternFill patternType="solid">
        <fgColor rgb="FFF5F7FA"/>
        <bgColor rgb="FFF8F9FA"/>
      </patternFill>
    </fill>
    <fill>
      <patternFill patternType="solid">
        <fgColor rgb="FFFFEBEE"/>
        <bgColor rgb="FFFCE4EC"/>
      </patternFill>
    </fill>
    <fill>
      <patternFill patternType="solid">
        <fgColor rgb="FF8B6914"/>
        <bgColor rgb="FFC03B2E"/>
      </patternFill>
    </fill>
    <fill>
      <patternFill patternType="solid">
        <fgColor rgb="FFB71C1C"/>
        <bgColor rgb="FF922B21"/>
      </patternFill>
    </fill>
    <fill>
      <patternFill patternType="solid">
        <fgColor rgb="FFEBF0FB"/>
        <bgColor rgb="FFEBF2FB"/>
      </patternFill>
    </fill>
    <fill>
      <patternFill patternType="solid">
        <fgColor rgb="FFFAFBFF"/>
        <bgColor rgb="FFF8F9FA"/>
      </patternFill>
    </fill>
    <fill>
      <patternFill patternType="solid">
        <fgColor rgb="FFF8F9FA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0" fillId="5" borderId="2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2" borderId="2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3" fontId="8" fillId="14" borderId="1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5" fontId="11" fillId="18" borderId="1" xfId="0" applyNumberFormat="1" applyFont="1" applyFill="1" applyBorder="1" applyAlignment="1">
      <alignment horizontal="center" vertical="center"/>
    </xf>
    <xf numFmtId="3" fontId="9" fillId="15" borderId="1" xfId="0" applyNumberFormat="1" applyFont="1" applyFill="1" applyBorder="1" applyAlignment="1">
      <alignment horizontal="center" vertical="center"/>
    </xf>
    <xf numFmtId="3" fontId="12" fillId="19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3" fontId="6" fillId="21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3" fontId="8" fillId="23" borderId="1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Border="1" applyAlignment="1">
      <alignment horizontal="center" vertical="center"/>
    </xf>
    <xf numFmtId="164" fontId="7" fillId="25" borderId="1" xfId="0" applyNumberFormat="1" applyFont="1" applyFill="1" applyBorder="1" applyAlignment="1">
      <alignment horizontal="center" vertical="center"/>
    </xf>
    <xf numFmtId="164" fontId="5" fillId="22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165" fontId="11" fillId="26" borderId="1" xfId="0" applyNumberFormat="1" applyFont="1" applyFill="1" applyBorder="1" applyAlignment="1">
      <alignment horizontal="center" vertical="center"/>
    </xf>
    <xf numFmtId="3" fontId="9" fillId="24" borderId="1" xfId="0" applyNumberFormat="1" applyFont="1" applyFill="1" applyBorder="1" applyAlignment="1">
      <alignment horizontal="center" vertical="center"/>
    </xf>
    <xf numFmtId="3" fontId="12" fillId="27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164" fontId="13" fillId="22" borderId="1" xfId="0" applyNumberFormat="1" applyFont="1" applyFill="1" applyBorder="1" applyAlignment="1">
      <alignment horizontal="center" vertical="center"/>
    </xf>
    <xf numFmtId="164" fontId="11" fillId="28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3" fontId="14" fillId="10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  <xf numFmtId="2" fontId="4" fillId="30" borderId="1" xfId="0" applyNumberFormat="1" applyFont="1" applyFill="1" applyBorder="1" applyAlignment="1">
      <alignment horizontal="center" vertical="center"/>
    </xf>
    <xf numFmtId="2" fontId="4" fillId="31" borderId="1" xfId="0" applyNumberFormat="1" applyFont="1" applyFill="1" applyBorder="1" applyAlignment="1">
      <alignment horizontal="center" vertical="center"/>
    </xf>
    <xf numFmtId="2" fontId="4" fillId="32" borderId="1" xfId="0" applyNumberFormat="1" applyFont="1" applyFill="1" applyBorder="1" applyAlignment="1">
      <alignment horizontal="center" vertical="center"/>
    </xf>
    <xf numFmtId="2" fontId="16" fillId="29" borderId="1" xfId="0" applyNumberFormat="1" applyFont="1" applyFill="1" applyBorder="1" applyAlignment="1">
      <alignment horizontal="center" vertical="center"/>
    </xf>
    <xf numFmtId="2" fontId="4" fillId="33" borderId="1" xfId="0" applyNumberFormat="1" applyFont="1" applyFill="1" applyBorder="1" applyAlignment="1">
      <alignment horizontal="center" vertical="center"/>
    </xf>
    <xf numFmtId="2" fontId="17" fillId="34" borderId="1" xfId="0" applyNumberFormat="1" applyFont="1" applyFill="1" applyBorder="1" applyAlignment="1">
      <alignment horizontal="center" vertical="center"/>
    </xf>
    <xf numFmtId="2" fontId="18" fillId="35" borderId="1" xfId="0" applyNumberFormat="1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2" fontId="16" fillId="22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18" fillId="35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64" fontId="5" fillId="18" borderId="1" xfId="0" applyNumberFormat="1" applyFont="1" applyFill="1" applyBorder="1" applyAlignment="1">
      <alignment horizontal="center" vertical="center"/>
    </xf>
    <xf numFmtId="3" fontId="7" fillId="38" borderId="1" xfId="0" applyNumberFormat="1" applyFont="1" applyFill="1" applyBorder="1" applyAlignment="1">
      <alignment horizontal="center" vertical="center"/>
    </xf>
    <xf numFmtId="165" fontId="7" fillId="38" borderId="1" xfId="0" applyNumberFormat="1" applyFont="1" applyFill="1" applyBorder="1" applyAlignment="1">
      <alignment horizontal="center" vertical="center"/>
    </xf>
    <xf numFmtId="3" fontId="11" fillId="39" borderId="1" xfId="0" applyNumberFormat="1" applyFont="1" applyFill="1" applyBorder="1" applyAlignment="1">
      <alignment horizontal="center" vertical="center"/>
    </xf>
    <xf numFmtId="165" fontId="11" fillId="39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3" fontId="22" fillId="7" borderId="1" xfId="0" applyNumberFormat="1" applyFont="1" applyFill="1" applyBorder="1" applyAlignment="1">
      <alignment horizontal="center" vertical="center"/>
    </xf>
    <xf numFmtId="165" fontId="22" fillId="7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3" fontId="23" fillId="40" borderId="1" xfId="0" applyNumberFormat="1" applyFont="1" applyFill="1" applyBorder="1" applyAlignment="1">
      <alignment horizontal="center" vertical="center"/>
    </xf>
    <xf numFmtId="3" fontId="24" fillId="40" borderId="1" xfId="0" applyNumberFormat="1" applyFont="1" applyFill="1" applyBorder="1" applyAlignment="1">
      <alignment horizontal="center" vertical="center"/>
    </xf>
    <xf numFmtId="164" fontId="25" fillId="41" borderId="1" xfId="0" applyNumberFormat="1" applyFont="1" applyFill="1" applyBorder="1" applyAlignment="1">
      <alignment horizontal="center" vertical="center"/>
    </xf>
    <xf numFmtId="164" fontId="26" fillId="36" borderId="1" xfId="0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3" fontId="23" fillId="22" borderId="1" xfId="0" applyNumberFormat="1" applyFont="1" applyFill="1" applyBorder="1" applyAlignment="1">
      <alignment horizontal="center" vertical="center"/>
    </xf>
    <xf numFmtId="3" fontId="24" fillId="22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2" borderId="1" xfId="0" applyFont="1" applyFill="1" applyBorder="1" applyAlignment="1">
      <alignment horizontal="center" vertical="center"/>
    </xf>
    <xf numFmtId="164" fontId="27" fillId="1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43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9" fillId="0" borderId="0" xfId="0" applyFont="1"/>
    <xf numFmtId="0" fontId="28" fillId="0" borderId="0" xfId="0" applyFont="1"/>
    <xf numFmtId="0" fontId="29" fillId="0" borderId="0" xfId="0" applyFont="1"/>
    <xf numFmtId="0" fontId="25" fillId="0" borderId="0" xfId="0" applyFont="1"/>
    <xf numFmtId="0" fontId="4" fillId="43" borderId="1" xfId="0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9" fontId="6" fillId="22" borderId="1" xfId="0" applyNumberFormat="1" applyFont="1" applyFill="1" applyBorder="1" applyAlignment="1">
      <alignment horizontal="left" vertical="center"/>
    </xf>
    <xf numFmtId="3" fontId="6" fillId="22" borderId="1" xfId="0" applyNumberFormat="1" applyFont="1" applyFill="1" applyBorder="1" applyAlignment="1">
      <alignment horizontal="center" vertical="center"/>
    </xf>
    <xf numFmtId="0" fontId="19" fillId="44" borderId="1" xfId="0" applyFont="1" applyFill="1" applyBorder="1" applyAlignment="1">
      <alignment horizontal="right" vertical="center" wrapText="1"/>
    </xf>
    <xf numFmtId="0" fontId="5" fillId="45" borderId="1" xfId="0" applyFont="1" applyFill="1" applyBorder="1" applyAlignment="1">
      <alignment horizontal="left" vertical="center" wrapText="1"/>
    </xf>
    <xf numFmtId="0" fontId="0" fillId="46" borderId="0" xfId="0" applyFill="1"/>
    <xf numFmtId="0" fontId="30" fillId="4" borderId="2" xfId="0" applyFont="1" applyFill="1" applyBorder="1" applyAlignment="1">
      <alignment horizontal="left" vertical="center"/>
    </xf>
    <xf numFmtId="0" fontId="30" fillId="8" borderId="2" xfId="0" applyFont="1" applyFill="1" applyBorder="1" applyAlignment="1">
      <alignment horizontal="left" vertical="center"/>
    </xf>
    <xf numFmtId="0" fontId="30" fillId="7" borderId="2" xfId="0" applyFont="1" applyFill="1" applyBorder="1" applyAlignment="1">
      <alignment horizontal="left" vertical="center"/>
    </xf>
    <xf numFmtId="0" fontId="30" fillId="4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74C3C"/>
      <rgbColor rgb="FFF0F8F5"/>
      <rgbColor rgb="FFF9F9F9"/>
      <rgbColor rgb="FFFFF3E0"/>
      <rgbColor rgb="FFFAF5FF"/>
      <rgbColor rgb="FFE8F5FB"/>
      <rgbColor rgb="FFF0FBF8"/>
      <rgbColor rgb="FF1B5E20"/>
      <rgbColor rgb="FF111111"/>
      <rgbColor rgb="FF8B6914"/>
      <rgbColor rgb="FFF1FBF3"/>
      <rgbColor rgb="FF00838F"/>
      <rgbColor rgb="FFCCCCCC"/>
      <rgbColor rgb="FF73829C"/>
      <rgbColor rgb="FFEBF0FB"/>
      <rgbColor rgb="FFC03B2E"/>
      <rgbColor rgb="FFFFF9C4"/>
      <rgbColor rgb="FFE0F7FA"/>
      <rgbColor rgb="FF4A148C"/>
      <rgbColor rgb="FFF57F17"/>
      <rgbColor rgb="FF1565C0"/>
      <rgbColor rgb="FFFADBD8"/>
      <rgbColor rgb="FFFDFEFE"/>
      <rgbColor rgb="FFF5F7FA"/>
      <rgbColor rgb="FFFFFDE7"/>
      <rgbColor rgb="FFEAFAF8"/>
      <rgbColor rgb="FFF5F9FF"/>
      <rgbColor rgb="FFF8F9FA"/>
      <rgbColor rgb="FF006064"/>
      <rgbColor rgb="FFFAFBFF"/>
      <rgbColor rgb="FFEBF2FB"/>
      <rgbColor rgb="FFE8FDFF"/>
      <rgbColor rgb="FFE0F2F1"/>
      <rgbColor rgb="FFFFF8E1"/>
      <rgbColor rgb="FFA8DEBA"/>
      <rgbColor rgb="FFFFCDD2"/>
      <rgbColor rgb="FFFCE4EC"/>
      <rgbColor rgb="FFFFE0B2"/>
      <rgbColor rgb="FFF5F0FF"/>
      <rgbColor rgb="FF1ABC9C"/>
      <rgbColor rgb="FFEBF2F8"/>
      <rgbColor rgb="FFFFEBEE"/>
      <rgbColor rgb="FFF9A825"/>
      <rgbColor rgb="FFE65100"/>
      <rgbColor rgb="FFEEF2FB"/>
      <rgbColor rgb="FFE8F5E9"/>
      <rgbColor rgb="FF1A5276"/>
      <rgbColor rgb="FF145A32"/>
      <rgbColor rgb="FF0D1B2A"/>
      <rgbColor rgb="FF444444"/>
      <rgbColor rgb="FF922B21"/>
      <rgbColor rgb="FFB71C1C"/>
      <rgbColor rgb="FF3344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Skincare Demand History &amp; 2026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Charts'!$B$4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Charts'!$A$5:$A$24</c:f>
              <c:strCache>
                <c:ptCount val="20"/>
                <c:pt idx="0">
                  <c:v>Face Wash</c:v>
                </c:pt>
                <c:pt idx="1">
                  <c:v>Moisturizer</c:v>
                </c:pt>
                <c:pt idx="2">
                  <c:v>Sunscreen SPF50</c:v>
                </c:pt>
                <c:pt idx="3">
                  <c:v>Night Cream</c:v>
                </c:pt>
                <c:pt idx="4">
                  <c:v>Serum Vitamin C</c:v>
                </c:pt>
                <c:pt idx="5">
                  <c:v>Anti-Aging Cream</c:v>
                </c:pt>
                <c:pt idx="6">
                  <c:v>Face Toner</c:v>
                </c:pt>
                <c:pt idx="7">
                  <c:v>Body Lotion</c:v>
                </c:pt>
                <c:pt idx="8">
                  <c:v>Lip Balm</c:v>
                </c:pt>
                <c:pt idx="9">
                  <c:v>Eye Cream</c:v>
                </c:pt>
                <c:pt idx="10">
                  <c:v>Acne Gel</c:v>
                </c:pt>
                <c:pt idx="11">
                  <c:v>Sheet Mask</c:v>
                </c:pt>
                <c:pt idx="12">
                  <c:v>Face Scrub</c:v>
                </c:pt>
                <c:pt idx="13">
                  <c:v>BB Cream</c:v>
                </c:pt>
                <c:pt idx="14">
                  <c:v>CC Cream</c:v>
                </c:pt>
                <c:pt idx="15">
                  <c:v>Hand Cream</c:v>
                </c:pt>
                <c:pt idx="16">
                  <c:v>Foot Cream</c:v>
                </c:pt>
                <c:pt idx="17">
                  <c:v>Face Oil</c:v>
                </c:pt>
                <c:pt idx="18">
                  <c:v>Clay Mask</c:v>
                </c:pt>
                <c:pt idx="19">
                  <c:v>Hydrating Mist</c:v>
                </c:pt>
              </c:strCache>
            </c:strRef>
          </c:cat>
          <c:val>
            <c:numRef>
              <c:f>'📈 Charts'!$B$5:$B$24</c:f>
              <c:numCache>
                <c:formatCode>#,##0</c:formatCode>
                <c:ptCount val="20"/>
                <c:pt idx="0">
                  <c:v>1691</c:v>
                </c:pt>
                <c:pt idx="1">
                  <c:v>1951</c:v>
                </c:pt>
                <c:pt idx="2">
                  <c:v>1658</c:v>
                </c:pt>
                <c:pt idx="3">
                  <c:v>1897</c:v>
                </c:pt>
                <c:pt idx="4">
                  <c:v>1949</c:v>
                </c:pt>
                <c:pt idx="5">
                  <c:v>2041</c:v>
                </c:pt>
                <c:pt idx="6">
                  <c:v>1631</c:v>
                </c:pt>
                <c:pt idx="7">
                  <c:v>1847</c:v>
                </c:pt>
                <c:pt idx="8">
                  <c:v>1938</c:v>
                </c:pt>
                <c:pt idx="9">
                  <c:v>1933</c:v>
                </c:pt>
                <c:pt idx="10">
                  <c:v>1838</c:v>
                </c:pt>
                <c:pt idx="11">
                  <c:v>1767</c:v>
                </c:pt>
                <c:pt idx="12">
                  <c:v>1646</c:v>
                </c:pt>
                <c:pt idx="13">
                  <c:v>1762</c:v>
                </c:pt>
                <c:pt idx="14">
                  <c:v>1830</c:v>
                </c:pt>
                <c:pt idx="15">
                  <c:v>1722</c:v>
                </c:pt>
                <c:pt idx="16">
                  <c:v>1855</c:v>
                </c:pt>
                <c:pt idx="17">
                  <c:v>1999</c:v>
                </c:pt>
                <c:pt idx="18">
                  <c:v>1647</c:v>
                </c:pt>
                <c:pt idx="19">
                  <c:v>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C-4ACD-853D-B847E9353EF7}"/>
            </c:ext>
          </c:extLst>
        </c:ser>
        <c:ser>
          <c:idx val="1"/>
          <c:order val="1"/>
          <c:tx>
            <c:strRef>
              <c:f>'📈 Charts'!$C$4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Charts'!$A$5:$A$24</c:f>
              <c:strCache>
                <c:ptCount val="20"/>
                <c:pt idx="0">
                  <c:v>Face Wash</c:v>
                </c:pt>
                <c:pt idx="1">
                  <c:v>Moisturizer</c:v>
                </c:pt>
                <c:pt idx="2">
                  <c:v>Sunscreen SPF50</c:v>
                </c:pt>
                <c:pt idx="3">
                  <c:v>Night Cream</c:v>
                </c:pt>
                <c:pt idx="4">
                  <c:v>Serum Vitamin C</c:v>
                </c:pt>
                <c:pt idx="5">
                  <c:v>Anti-Aging Cream</c:v>
                </c:pt>
                <c:pt idx="6">
                  <c:v>Face Toner</c:v>
                </c:pt>
                <c:pt idx="7">
                  <c:v>Body Lotion</c:v>
                </c:pt>
                <c:pt idx="8">
                  <c:v>Lip Balm</c:v>
                </c:pt>
                <c:pt idx="9">
                  <c:v>Eye Cream</c:v>
                </c:pt>
                <c:pt idx="10">
                  <c:v>Acne Gel</c:v>
                </c:pt>
                <c:pt idx="11">
                  <c:v>Sheet Mask</c:v>
                </c:pt>
                <c:pt idx="12">
                  <c:v>Face Scrub</c:v>
                </c:pt>
                <c:pt idx="13">
                  <c:v>BB Cream</c:v>
                </c:pt>
                <c:pt idx="14">
                  <c:v>CC Cream</c:v>
                </c:pt>
                <c:pt idx="15">
                  <c:v>Hand Cream</c:v>
                </c:pt>
                <c:pt idx="16">
                  <c:v>Foot Cream</c:v>
                </c:pt>
                <c:pt idx="17">
                  <c:v>Face Oil</c:v>
                </c:pt>
                <c:pt idx="18">
                  <c:v>Clay Mask</c:v>
                </c:pt>
                <c:pt idx="19">
                  <c:v>Hydrating Mist</c:v>
                </c:pt>
              </c:strCache>
            </c:strRef>
          </c:cat>
          <c:val>
            <c:numRef>
              <c:f>'📈 Charts'!$C$5:$C$24</c:f>
              <c:numCache>
                <c:formatCode>#,##0</c:formatCode>
                <c:ptCount val="20"/>
                <c:pt idx="0">
                  <c:v>1864</c:v>
                </c:pt>
                <c:pt idx="1">
                  <c:v>1811</c:v>
                </c:pt>
                <c:pt idx="2">
                  <c:v>1923</c:v>
                </c:pt>
                <c:pt idx="3">
                  <c:v>1668</c:v>
                </c:pt>
                <c:pt idx="4">
                  <c:v>1903</c:v>
                </c:pt>
                <c:pt idx="5">
                  <c:v>1895</c:v>
                </c:pt>
                <c:pt idx="6">
                  <c:v>1796</c:v>
                </c:pt>
                <c:pt idx="7">
                  <c:v>1886</c:v>
                </c:pt>
                <c:pt idx="8">
                  <c:v>1805</c:v>
                </c:pt>
                <c:pt idx="9">
                  <c:v>1701</c:v>
                </c:pt>
                <c:pt idx="10">
                  <c:v>1672</c:v>
                </c:pt>
                <c:pt idx="11">
                  <c:v>1861</c:v>
                </c:pt>
                <c:pt idx="12">
                  <c:v>1699</c:v>
                </c:pt>
                <c:pt idx="13">
                  <c:v>1628</c:v>
                </c:pt>
                <c:pt idx="14">
                  <c:v>1904</c:v>
                </c:pt>
                <c:pt idx="15">
                  <c:v>1631</c:v>
                </c:pt>
                <c:pt idx="16">
                  <c:v>1850</c:v>
                </c:pt>
                <c:pt idx="17">
                  <c:v>2000</c:v>
                </c:pt>
                <c:pt idx="18">
                  <c:v>1867</c:v>
                </c:pt>
                <c:pt idx="19">
                  <c:v>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C-4ACD-853D-B847E9353EF7}"/>
            </c:ext>
          </c:extLst>
        </c:ser>
        <c:ser>
          <c:idx val="2"/>
          <c:order val="2"/>
          <c:tx>
            <c:strRef>
              <c:f>'📈 Charts'!$D$4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Charts'!$A$5:$A$24</c:f>
              <c:strCache>
                <c:ptCount val="20"/>
                <c:pt idx="0">
                  <c:v>Face Wash</c:v>
                </c:pt>
                <c:pt idx="1">
                  <c:v>Moisturizer</c:v>
                </c:pt>
                <c:pt idx="2">
                  <c:v>Sunscreen SPF50</c:v>
                </c:pt>
                <c:pt idx="3">
                  <c:v>Night Cream</c:v>
                </c:pt>
                <c:pt idx="4">
                  <c:v>Serum Vitamin C</c:v>
                </c:pt>
                <c:pt idx="5">
                  <c:v>Anti-Aging Cream</c:v>
                </c:pt>
                <c:pt idx="6">
                  <c:v>Face Toner</c:v>
                </c:pt>
                <c:pt idx="7">
                  <c:v>Body Lotion</c:v>
                </c:pt>
                <c:pt idx="8">
                  <c:v>Lip Balm</c:v>
                </c:pt>
                <c:pt idx="9">
                  <c:v>Eye Cream</c:v>
                </c:pt>
                <c:pt idx="10">
                  <c:v>Acne Gel</c:v>
                </c:pt>
                <c:pt idx="11">
                  <c:v>Sheet Mask</c:v>
                </c:pt>
                <c:pt idx="12">
                  <c:v>Face Scrub</c:v>
                </c:pt>
                <c:pt idx="13">
                  <c:v>BB Cream</c:v>
                </c:pt>
                <c:pt idx="14">
                  <c:v>CC Cream</c:v>
                </c:pt>
                <c:pt idx="15">
                  <c:v>Hand Cream</c:v>
                </c:pt>
                <c:pt idx="16">
                  <c:v>Foot Cream</c:v>
                </c:pt>
                <c:pt idx="17">
                  <c:v>Face Oil</c:v>
                </c:pt>
                <c:pt idx="18">
                  <c:v>Clay Mask</c:v>
                </c:pt>
                <c:pt idx="19">
                  <c:v>Hydrating Mist</c:v>
                </c:pt>
              </c:strCache>
            </c:strRef>
          </c:cat>
          <c:val>
            <c:numRef>
              <c:f>'📈 Charts'!$D$5:$D$24</c:f>
              <c:numCache>
                <c:formatCode>#,##0</c:formatCode>
                <c:ptCount val="20"/>
                <c:pt idx="0">
                  <c:v>1681</c:v>
                </c:pt>
                <c:pt idx="1">
                  <c:v>1844</c:v>
                </c:pt>
                <c:pt idx="2">
                  <c:v>1821</c:v>
                </c:pt>
                <c:pt idx="3">
                  <c:v>2101</c:v>
                </c:pt>
                <c:pt idx="4">
                  <c:v>1837</c:v>
                </c:pt>
                <c:pt idx="5">
                  <c:v>1867</c:v>
                </c:pt>
                <c:pt idx="6">
                  <c:v>1888</c:v>
                </c:pt>
                <c:pt idx="7">
                  <c:v>1945</c:v>
                </c:pt>
                <c:pt idx="8">
                  <c:v>1695</c:v>
                </c:pt>
                <c:pt idx="9">
                  <c:v>1709</c:v>
                </c:pt>
                <c:pt idx="10">
                  <c:v>2049</c:v>
                </c:pt>
                <c:pt idx="11">
                  <c:v>1769</c:v>
                </c:pt>
                <c:pt idx="12">
                  <c:v>1963</c:v>
                </c:pt>
                <c:pt idx="13">
                  <c:v>2049</c:v>
                </c:pt>
                <c:pt idx="14">
                  <c:v>2166</c:v>
                </c:pt>
                <c:pt idx="15">
                  <c:v>1837</c:v>
                </c:pt>
                <c:pt idx="16">
                  <c:v>1963</c:v>
                </c:pt>
                <c:pt idx="17">
                  <c:v>1853</c:v>
                </c:pt>
                <c:pt idx="18">
                  <c:v>1936</c:v>
                </c:pt>
                <c:pt idx="19">
                  <c:v>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C-4ACD-853D-B847E9353EF7}"/>
            </c:ext>
          </c:extLst>
        </c:ser>
        <c:ser>
          <c:idx val="3"/>
          <c:order val="3"/>
          <c:tx>
            <c:strRef>
              <c:f>'📈 Charts'!$E$4</c:f>
              <c:strCache>
                <c:ptCount val="1"/>
                <c:pt idx="0">
                  <c:v>2026 Fcst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Charts'!$A$5:$A$24</c:f>
              <c:strCache>
                <c:ptCount val="20"/>
                <c:pt idx="0">
                  <c:v>Face Wash</c:v>
                </c:pt>
                <c:pt idx="1">
                  <c:v>Moisturizer</c:v>
                </c:pt>
                <c:pt idx="2">
                  <c:v>Sunscreen SPF50</c:v>
                </c:pt>
                <c:pt idx="3">
                  <c:v>Night Cream</c:v>
                </c:pt>
                <c:pt idx="4">
                  <c:v>Serum Vitamin C</c:v>
                </c:pt>
                <c:pt idx="5">
                  <c:v>Anti-Aging Cream</c:v>
                </c:pt>
                <c:pt idx="6">
                  <c:v>Face Toner</c:v>
                </c:pt>
                <c:pt idx="7">
                  <c:v>Body Lotion</c:v>
                </c:pt>
                <c:pt idx="8">
                  <c:v>Lip Balm</c:v>
                </c:pt>
                <c:pt idx="9">
                  <c:v>Eye Cream</c:v>
                </c:pt>
                <c:pt idx="10">
                  <c:v>Acne Gel</c:v>
                </c:pt>
                <c:pt idx="11">
                  <c:v>Sheet Mask</c:v>
                </c:pt>
                <c:pt idx="12">
                  <c:v>Face Scrub</c:v>
                </c:pt>
                <c:pt idx="13">
                  <c:v>BB Cream</c:v>
                </c:pt>
                <c:pt idx="14">
                  <c:v>CC Cream</c:v>
                </c:pt>
                <c:pt idx="15">
                  <c:v>Hand Cream</c:v>
                </c:pt>
                <c:pt idx="16">
                  <c:v>Foot Cream</c:v>
                </c:pt>
                <c:pt idx="17">
                  <c:v>Face Oil</c:v>
                </c:pt>
                <c:pt idx="18">
                  <c:v>Clay Mask</c:v>
                </c:pt>
                <c:pt idx="19">
                  <c:v>Hydrating Mist</c:v>
                </c:pt>
              </c:strCache>
            </c:strRef>
          </c:cat>
          <c:val>
            <c:numRef>
              <c:f>'📈 Charts'!$E$5:$E$24</c:f>
              <c:numCache>
                <c:formatCode>#,##0</c:formatCode>
                <c:ptCount val="20"/>
                <c:pt idx="0">
                  <c:v>1782</c:v>
                </c:pt>
                <c:pt idx="1">
                  <c:v>1744</c:v>
                </c:pt>
                <c:pt idx="2">
                  <c:v>2013</c:v>
                </c:pt>
                <c:pt idx="3">
                  <c:v>2052</c:v>
                </c:pt>
                <c:pt idx="4">
                  <c:v>1788</c:v>
                </c:pt>
                <c:pt idx="5">
                  <c:v>1750</c:v>
                </c:pt>
                <c:pt idx="6">
                  <c:v>2045</c:v>
                </c:pt>
                <c:pt idx="7">
                  <c:v>1990</c:v>
                </c:pt>
                <c:pt idx="8">
                  <c:v>1573</c:v>
                </c:pt>
                <c:pt idx="9">
                  <c:v>1536</c:v>
                </c:pt>
                <c:pt idx="10">
                  <c:v>2028</c:v>
                </c:pt>
                <c:pt idx="11">
                  <c:v>1824</c:v>
                </c:pt>
                <c:pt idx="12">
                  <c:v>2079</c:v>
                </c:pt>
                <c:pt idx="13">
                  <c:v>2071</c:v>
                </c:pt>
                <c:pt idx="14">
                  <c:v>2298</c:v>
                </c:pt>
                <c:pt idx="15">
                  <c:v>1819</c:v>
                </c:pt>
                <c:pt idx="16">
                  <c:v>1987</c:v>
                </c:pt>
                <c:pt idx="17">
                  <c:v>1826</c:v>
                </c:pt>
                <c:pt idx="18">
                  <c:v>2133</c:v>
                </c:pt>
                <c:pt idx="19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AC-4ACD-853D-B847E9353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05478"/>
        <c:axId val="44919341"/>
      </c:barChart>
      <c:catAx>
        <c:axId val="402054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19341"/>
        <c:crosses val="autoZero"/>
        <c:auto val="1"/>
        <c:lblAlgn val="ctr"/>
        <c:lblOffset val="100"/>
        <c:noMultiLvlLbl val="0"/>
      </c:catAx>
      <c:valAx>
        <c:axId val="44919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05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Stockout Rate vs Fill Rate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Charts'!$I$4</c:f>
              <c:strCache>
                <c:ptCount val="1"/>
                <c:pt idx="0">
                  <c:v>Stockout%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Charts'!$H$5:$H$24</c:f>
              <c:strCache>
                <c:ptCount val="20"/>
                <c:pt idx="0">
                  <c:v>Body Lotion</c:v>
                </c:pt>
                <c:pt idx="1">
                  <c:v>Moisturizer</c:v>
                </c:pt>
                <c:pt idx="2">
                  <c:v>Eye Cream</c:v>
                </c:pt>
                <c:pt idx="3">
                  <c:v>CC Cream</c:v>
                </c:pt>
                <c:pt idx="4">
                  <c:v>Hydrating Mist</c:v>
                </c:pt>
                <c:pt idx="5">
                  <c:v>Face Scrub</c:v>
                </c:pt>
                <c:pt idx="6">
                  <c:v>Night Cream</c:v>
                </c:pt>
                <c:pt idx="7">
                  <c:v>Face Oil</c:v>
                </c:pt>
                <c:pt idx="8">
                  <c:v>Clay Mask</c:v>
                </c:pt>
                <c:pt idx="9">
                  <c:v>Lip Balm</c:v>
                </c:pt>
                <c:pt idx="10">
                  <c:v>Anti-Aging Cream</c:v>
                </c:pt>
                <c:pt idx="11">
                  <c:v>Serum Vitamin C</c:v>
                </c:pt>
                <c:pt idx="12">
                  <c:v>Hand Cream</c:v>
                </c:pt>
                <c:pt idx="13">
                  <c:v>Acne Gel</c:v>
                </c:pt>
                <c:pt idx="14">
                  <c:v>BB Cream</c:v>
                </c:pt>
                <c:pt idx="15">
                  <c:v>Face Wash</c:v>
                </c:pt>
                <c:pt idx="16">
                  <c:v>Sunscreen SPF50</c:v>
                </c:pt>
                <c:pt idx="17">
                  <c:v>Face Toner</c:v>
                </c:pt>
                <c:pt idx="18">
                  <c:v>Sheet Mask</c:v>
                </c:pt>
                <c:pt idx="19">
                  <c:v>Foot Cream</c:v>
                </c:pt>
              </c:strCache>
            </c:strRef>
          </c:cat>
          <c:val>
            <c:numRef>
              <c:f>'📈 Charts'!$I$5:$I$24</c:f>
              <c:numCache>
                <c:formatCode>0.0%</c:formatCode>
                <c:ptCount val="20"/>
                <c:pt idx="0">
                  <c:v>0.80555555555555602</c:v>
                </c:pt>
                <c:pt idx="1">
                  <c:v>0.77777777777777801</c:v>
                </c:pt>
                <c:pt idx="2">
                  <c:v>0.77777777777777801</c:v>
                </c:pt>
                <c:pt idx="3">
                  <c:v>0.77777777777777801</c:v>
                </c:pt>
                <c:pt idx="4">
                  <c:v>0.77777777777777801</c:v>
                </c:pt>
                <c:pt idx="5">
                  <c:v>0.77777777777777801</c:v>
                </c:pt>
                <c:pt idx="6">
                  <c:v>0.72222222222222199</c:v>
                </c:pt>
                <c:pt idx="7">
                  <c:v>0.72222222222222199</c:v>
                </c:pt>
                <c:pt idx="8">
                  <c:v>0.72222222222222199</c:v>
                </c:pt>
                <c:pt idx="9">
                  <c:v>0.72222222222222199</c:v>
                </c:pt>
                <c:pt idx="10">
                  <c:v>0.72222222222222199</c:v>
                </c:pt>
                <c:pt idx="11">
                  <c:v>0.72222222222222199</c:v>
                </c:pt>
                <c:pt idx="12">
                  <c:v>0.72222222222222199</c:v>
                </c:pt>
                <c:pt idx="13">
                  <c:v>0.69444444444444398</c:v>
                </c:pt>
                <c:pt idx="14">
                  <c:v>0.66666666666666696</c:v>
                </c:pt>
                <c:pt idx="15">
                  <c:v>0.63888888888888895</c:v>
                </c:pt>
                <c:pt idx="16">
                  <c:v>0.63888888888888895</c:v>
                </c:pt>
                <c:pt idx="17">
                  <c:v>0.63888888888888895</c:v>
                </c:pt>
                <c:pt idx="18">
                  <c:v>0.63888888888888895</c:v>
                </c:pt>
                <c:pt idx="19">
                  <c:v>0.61111111111111105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5-4FD9-8B59-946F69752D1A}"/>
            </c:ext>
          </c:extLst>
        </c:ser>
        <c:ser>
          <c:idx val="1"/>
          <c:order val="1"/>
          <c:tx>
            <c:strRef>
              <c:f>'📈 Charts'!$J$4</c:f>
              <c:strCache>
                <c:ptCount val="1"/>
                <c:pt idx="0">
                  <c:v>Fill Rate%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Charts'!$H$5:$H$24</c:f>
              <c:strCache>
                <c:ptCount val="20"/>
                <c:pt idx="0">
                  <c:v>Body Lotion</c:v>
                </c:pt>
                <c:pt idx="1">
                  <c:v>Moisturizer</c:v>
                </c:pt>
                <c:pt idx="2">
                  <c:v>Eye Cream</c:v>
                </c:pt>
                <c:pt idx="3">
                  <c:v>CC Cream</c:v>
                </c:pt>
                <c:pt idx="4">
                  <c:v>Hydrating Mist</c:v>
                </c:pt>
                <c:pt idx="5">
                  <c:v>Face Scrub</c:v>
                </c:pt>
                <c:pt idx="6">
                  <c:v>Night Cream</c:v>
                </c:pt>
                <c:pt idx="7">
                  <c:v>Face Oil</c:v>
                </c:pt>
                <c:pt idx="8">
                  <c:v>Clay Mask</c:v>
                </c:pt>
                <c:pt idx="9">
                  <c:v>Lip Balm</c:v>
                </c:pt>
                <c:pt idx="10">
                  <c:v>Anti-Aging Cream</c:v>
                </c:pt>
                <c:pt idx="11">
                  <c:v>Serum Vitamin C</c:v>
                </c:pt>
                <c:pt idx="12">
                  <c:v>Hand Cream</c:v>
                </c:pt>
                <c:pt idx="13">
                  <c:v>Acne Gel</c:v>
                </c:pt>
                <c:pt idx="14">
                  <c:v>BB Cream</c:v>
                </c:pt>
                <c:pt idx="15">
                  <c:v>Face Wash</c:v>
                </c:pt>
                <c:pt idx="16">
                  <c:v>Sunscreen SPF50</c:v>
                </c:pt>
                <c:pt idx="17">
                  <c:v>Face Toner</c:v>
                </c:pt>
                <c:pt idx="18">
                  <c:v>Sheet Mask</c:v>
                </c:pt>
                <c:pt idx="19">
                  <c:v>Foot Cream</c:v>
                </c:pt>
              </c:strCache>
            </c:strRef>
          </c:cat>
          <c:val>
            <c:numRef>
              <c:f>'📈 Charts'!$J$5:$J$24</c:f>
              <c:numCache>
                <c:formatCode>0.0%</c:formatCode>
                <c:ptCount val="20"/>
                <c:pt idx="0">
                  <c:v>0.88575658270955004</c:v>
                </c:pt>
                <c:pt idx="1">
                  <c:v>0.867288557985326</c:v>
                </c:pt>
                <c:pt idx="2">
                  <c:v>0.89201041282587501</c:v>
                </c:pt>
                <c:pt idx="3">
                  <c:v>0.88207920854567701</c:v>
                </c:pt>
                <c:pt idx="4">
                  <c:v>0.87382327586627695</c:v>
                </c:pt>
                <c:pt idx="5">
                  <c:v>0.87174149105862897</c:v>
                </c:pt>
                <c:pt idx="6">
                  <c:v>0.89393826163892298</c:v>
                </c:pt>
                <c:pt idx="7">
                  <c:v>0.88705263031293402</c:v>
                </c:pt>
                <c:pt idx="8">
                  <c:v>0.89587262087491004</c:v>
                </c:pt>
                <c:pt idx="9">
                  <c:v>0.87741081946560096</c:v>
                </c:pt>
                <c:pt idx="10">
                  <c:v>0.90810461613897198</c:v>
                </c:pt>
                <c:pt idx="11">
                  <c:v>0.87756744019272304</c:v>
                </c:pt>
                <c:pt idx="12">
                  <c:v>0.88897940771814499</c:v>
                </c:pt>
                <c:pt idx="13">
                  <c:v>0.88683763783006997</c:v>
                </c:pt>
                <c:pt idx="14">
                  <c:v>0.91572290545336599</c:v>
                </c:pt>
                <c:pt idx="15">
                  <c:v>0.89131684174109105</c:v>
                </c:pt>
                <c:pt idx="16">
                  <c:v>0.92006845058145703</c:v>
                </c:pt>
                <c:pt idx="17">
                  <c:v>0.90442345719209505</c:v>
                </c:pt>
                <c:pt idx="18">
                  <c:v>0.92548365429067803</c:v>
                </c:pt>
                <c:pt idx="19">
                  <c:v>0.91247663420554004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5-4FD9-8B59-946F6975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58403"/>
        <c:axId val="17841466"/>
      </c:barChart>
      <c:catAx>
        <c:axId val="611584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41466"/>
        <c:crosses val="autoZero"/>
        <c:auto val="1"/>
        <c:lblAlgn val="ctr"/>
        <c:lblOffset val="100"/>
        <c:noMultiLvlLbl val="0"/>
      </c:catAx>
      <c:valAx>
        <c:axId val="178414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58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Monthly Seasonality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Charts'!$O$4</c:f>
              <c:strCache>
                <c:ptCount val="1"/>
                <c:pt idx="0">
                  <c:v>Avg SI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Charts'!$N$5:$N$16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Charts'!$O$5:$O$16</c:f>
              <c:numCache>
                <c:formatCode>0.00</c:formatCode>
                <c:ptCount val="12"/>
                <c:pt idx="0">
                  <c:v>0.92200000000000004</c:v>
                </c:pt>
                <c:pt idx="1">
                  <c:v>0.76100000000000001</c:v>
                </c:pt>
                <c:pt idx="2">
                  <c:v>0.82099999999999995</c:v>
                </c:pt>
                <c:pt idx="3">
                  <c:v>1.198</c:v>
                </c:pt>
                <c:pt idx="4">
                  <c:v>1.1639999999999999</c:v>
                </c:pt>
                <c:pt idx="5">
                  <c:v>1.23</c:v>
                </c:pt>
                <c:pt idx="6">
                  <c:v>0.93500000000000005</c:v>
                </c:pt>
                <c:pt idx="7">
                  <c:v>0.99</c:v>
                </c:pt>
                <c:pt idx="8">
                  <c:v>0.94499999999999995</c:v>
                </c:pt>
                <c:pt idx="9">
                  <c:v>0.84199999999999997</c:v>
                </c:pt>
                <c:pt idx="10">
                  <c:v>1.079</c:v>
                </c:pt>
                <c:pt idx="11">
                  <c:v>1.1120000000000001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8A-4542-81E6-A9B1BBBFE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527363"/>
        <c:axId val="64761251"/>
      </c:lineChart>
      <c:catAx>
        <c:axId val="25527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61251"/>
        <c:crosses val="autoZero"/>
        <c:auto val="1"/>
        <c:lblAlgn val="ctr"/>
        <c:lblOffset val="100"/>
        <c:noMultiLvlLbl val="0"/>
      </c:catAx>
      <c:valAx>
        <c:axId val="64761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7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Estimated 3-Year Lost Revenue per SKU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Charts'!$R$4</c:f>
              <c:strCache>
                <c:ptCount val="1"/>
                <c:pt idx="0">
                  <c:v>Lost Rev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Charts'!$Q$5:$Q$24</c:f>
              <c:strCache>
                <c:ptCount val="20"/>
                <c:pt idx="0">
                  <c:v>Moisturizer</c:v>
                </c:pt>
                <c:pt idx="1">
                  <c:v>Serum Vitamin C</c:v>
                </c:pt>
                <c:pt idx="2">
                  <c:v>Face Oil</c:v>
                </c:pt>
                <c:pt idx="3">
                  <c:v>Lip Balm</c:v>
                </c:pt>
                <c:pt idx="4">
                  <c:v>Hydrating Mist</c:v>
                </c:pt>
                <c:pt idx="5">
                  <c:v>Body Lotion</c:v>
                </c:pt>
                <c:pt idx="6">
                  <c:v>Face Wash</c:v>
                </c:pt>
                <c:pt idx="7">
                  <c:v>Eye Cream</c:v>
                </c:pt>
                <c:pt idx="8">
                  <c:v>Night Cream</c:v>
                </c:pt>
                <c:pt idx="9">
                  <c:v>Acne Gel</c:v>
                </c:pt>
                <c:pt idx="10">
                  <c:v>Face Scrub</c:v>
                </c:pt>
                <c:pt idx="11">
                  <c:v>Hand Cream</c:v>
                </c:pt>
                <c:pt idx="12">
                  <c:v>Anti-Aging Cream</c:v>
                </c:pt>
                <c:pt idx="13">
                  <c:v>Clay Mask</c:v>
                </c:pt>
                <c:pt idx="14">
                  <c:v>CC Cream</c:v>
                </c:pt>
                <c:pt idx="15">
                  <c:v>Foot Cream</c:v>
                </c:pt>
                <c:pt idx="16">
                  <c:v>Face Toner</c:v>
                </c:pt>
                <c:pt idx="17">
                  <c:v>Sunscreen SPF50</c:v>
                </c:pt>
                <c:pt idx="18">
                  <c:v>BB Cream</c:v>
                </c:pt>
                <c:pt idx="19">
                  <c:v>Sheet Mask</c:v>
                </c:pt>
              </c:strCache>
            </c:strRef>
          </c:cat>
          <c:val>
            <c:numRef>
              <c:f>'📈 Charts'!$R$5:$R$24</c:f>
              <c:numCache>
                <c:formatCode>\$#,##0</c:formatCode>
                <c:ptCount val="20"/>
                <c:pt idx="0">
                  <c:v>24651</c:v>
                </c:pt>
                <c:pt idx="1">
                  <c:v>21260</c:v>
                </c:pt>
                <c:pt idx="2">
                  <c:v>20367</c:v>
                </c:pt>
                <c:pt idx="3">
                  <c:v>19175</c:v>
                </c:pt>
                <c:pt idx="4">
                  <c:v>18950</c:v>
                </c:pt>
                <c:pt idx="5">
                  <c:v>18909</c:v>
                </c:pt>
                <c:pt idx="6">
                  <c:v>17466</c:v>
                </c:pt>
                <c:pt idx="7">
                  <c:v>17352</c:v>
                </c:pt>
                <c:pt idx="8">
                  <c:v>17344</c:v>
                </c:pt>
                <c:pt idx="9">
                  <c:v>17201</c:v>
                </c:pt>
                <c:pt idx="10">
                  <c:v>16594</c:v>
                </c:pt>
                <c:pt idx="11">
                  <c:v>16564</c:v>
                </c:pt>
                <c:pt idx="12">
                  <c:v>16382</c:v>
                </c:pt>
                <c:pt idx="13">
                  <c:v>16331</c:v>
                </c:pt>
                <c:pt idx="14">
                  <c:v>16069</c:v>
                </c:pt>
                <c:pt idx="15">
                  <c:v>15881</c:v>
                </c:pt>
                <c:pt idx="16">
                  <c:v>14719</c:v>
                </c:pt>
                <c:pt idx="17">
                  <c:v>14675</c:v>
                </c:pt>
                <c:pt idx="18">
                  <c:v>12281</c:v>
                </c:pt>
                <c:pt idx="19">
                  <c:v>12021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F-4325-94FA-8083AF64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09011"/>
        <c:axId val="25116233"/>
      </c:barChart>
      <c:catAx>
        <c:axId val="891090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16233"/>
        <c:crosses val="autoZero"/>
        <c:auto val="1"/>
        <c:lblAlgn val="ctr"/>
        <c:lblOffset val="100"/>
        <c:noMultiLvlLbl val="0"/>
      </c:catAx>
      <c:valAx>
        <c:axId val="251162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09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12</xdr:col>
      <xdr:colOff>386820</xdr:colOff>
      <xdr:row>53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</xdr:colOff>
      <xdr:row>56</xdr:row>
      <xdr:rowOff>53340</xdr:rowOff>
    </xdr:from>
    <xdr:to>
      <xdr:col>12</xdr:col>
      <xdr:colOff>345180</xdr:colOff>
      <xdr:row>82</xdr:row>
      <xdr:rowOff>140100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609600</xdr:colOff>
      <xdr:row>57</xdr:row>
      <xdr:rowOff>7620</xdr:rowOff>
    </xdr:from>
    <xdr:to>
      <xdr:col>18</xdr:col>
      <xdr:colOff>219900</xdr:colOff>
      <xdr:row>79</xdr:row>
      <xdr:rowOff>136140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746760</xdr:colOff>
      <xdr:row>27</xdr:row>
      <xdr:rowOff>22860</xdr:rowOff>
    </xdr:from>
    <xdr:to>
      <xdr:col>19</xdr:col>
      <xdr:colOff>465420</xdr:colOff>
      <xdr:row>53</xdr:row>
      <xdr:rowOff>109620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2" width="22" customWidth="1"/>
    <col min="3" max="3" width="12" customWidth="1"/>
    <col min="4" max="4" width="8" customWidth="1"/>
    <col min="5" max="7" width="10" customWidth="1"/>
    <col min="8" max="10" width="9" customWidth="1"/>
    <col min="11" max="11" width="10" customWidth="1"/>
    <col min="12" max="12" width="12" customWidth="1"/>
    <col min="13" max="13" width="10" customWidth="1"/>
    <col min="14" max="15" width="9" customWidth="1"/>
    <col min="16" max="16" width="12" customWidth="1"/>
    <col min="17" max="17" width="16" customWidth="1"/>
    <col min="18" max="19" width="9" customWidth="1"/>
    <col min="20" max="20" width="4" customWidth="1"/>
    <col min="21" max="32" width="8" customWidth="1"/>
  </cols>
  <sheetData>
    <row r="1" spans="1:32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ht="12" customHeight="1" x14ac:dyDescent="0.3">
      <c r="A3" s="12" t="s">
        <v>2</v>
      </c>
      <c r="B3" s="12"/>
      <c r="C3" s="12"/>
      <c r="D3" s="12"/>
      <c r="E3" s="11" t="s">
        <v>3</v>
      </c>
      <c r="F3" s="11"/>
      <c r="G3" s="11"/>
      <c r="H3" s="11"/>
      <c r="I3" s="11"/>
      <c r="J3" s="11"/>
      <c r="K3" s="11"/>
      <c r="L3" s="15" t="s">
        <v>4</v>
      </c>
      <c r="M3" s="10" t="s">
        <v>5</v>
      </c>
      <c r="N3" s="10"/>
      <c r="O3" s="10"/>
      <c r="P3" s="10"/>
      <c r="Q3" s="9" t="s">
        <v>6</v>
      </c>
      <c r="R3" s="9"/>
      <c r="S3" s="16"/>
      <c r="T3" s="8" t="s">
        <v>7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2" ht="37.5" customHeight="1" x14ac:dyDescent="0.3">
      <c r="A4" s="17" t="s">
        <v>8</v>
      </c>
      <c r="B4" s="17" t="s">
        <v>9</v>
      </c>
      <c r="C4" s="17" t="s">
        <v>10</v>
      </c>
      <c r="D4" s="17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9" t="s">
        <v>19</v>
      </c>
      <c r="M4" s="20" t="s">
        <v>20</v>
      </c>
      <c r="N4" s="20" t="s">
        <v>21</v>
      </c>
      <c r="O4" s="20" t="s">
        <v>22</v>
      </c>
      <c r="P4" s="20" t="s">
        <v>23</v>
      </c>
      <c r="Q4" s="21" t="s">
        <v>24</v>
      </c>
      <c r="R4" s="21" t="s">
        <v>25</v>
      </c>
      <c r="S4" s="22" t="s">
        <v>26</v>
      </c>
      <c r="T4" s="23"/>
      <c r="U4" s="23" t="s">
        <v>27</v>
      </c>
      <c r="V4" s="23" t="s">
        <v>28</v>
      </c>
      <c r="W4" s="23" t="s">
        <v>29</v>
      </c>
      <c r="X4" s="23" t="s">
        <v>30</v>
      </c>
      <c r="Y4" s="23" t="s">
        <v>31</v>
      </c>
      <c r="Z4" s="23" t="s">
        <v>32</v>
      </c>
      <c r="AA4" s="23" t="s">
        <v>33</v>
      </c>
      <c r="AB4" s="23" t="s">
        <v>34</v>
      </c>
      <c r="AC4" s="23" t="s">
        <v>35</v>
      </c>
      <c r="AD4" s="23" t="s">
        <v>36</v>
      </c>
      <c r="AE4" s="23" t="s">
        <v>37</v>
      </c>
    </row>
    <row r="5" spans="1:32" ht="18" customHeight="1" x14ac:dyDescent="0.3">
      <c r="A5" s="24" t="s">
        <v>38</v>
      </c>
      <c r="B5" s="24" t="s">
        <v>39</v>
      </c>
      <c r="C5" s="24" t="s">
        <v>40</v>
      </c>
      <c r="D5" s="24">
        <v>31.5277777777778</v>
      </c>
      <c r="E5" s="25">
        <v>1691</v>
      </c>
      <c r="F5" s="25">
        <v>1864</v>
      </c>
      <c r="G5" s="25">
        <v>1681</v>
      </c>
      <c r="H5" s="26">
        <v>-1.7983048352423699E-2</v>
      </c>
      <c r="I5" s="27">
        <v>1651</v>
      </c>
      <c r="J5" s="27">
        <v>1979</v>
      </c>
      <c r="K5" s="27">
        <v>1782</v>
      </c>
      <c r="L5" s="28">
        <v>56182</v>
      </c>
      <c r="M5" s="29">
        <v>0.63888888888888895</v>
      </c>
      <c r="N5" s="30">
        <v>0.89131684174109105</v>
      </c>
      <c r="O5" s="31">
        <v>554</v>
      </c>
      <c r="P5" s="32">
        <v>17466</v>
      </c>
      <c r="Q5" s="31" t="s">
        <v>41</v>
      </c>
      <c r="R5" s="33">
        <v>64</v>
      </c>
      <c r="S5" s="33">
        <v>209</v>
      </c>
      <c r="T5" s="31"/>
      <c r="U5" s="34">
        <v>173</v>
      </c>
      <c r="V5" s="34">
        <v>116</v>
      </c>
      <c r="W5" s="34">
        <v>100</v>
      </c>
      <c r="X5" s="34">
        <v>154</v>
      </c>
      <c r="Y5" s="34">
        <v>171</v>
      </c>
      <c r="Z5" s="34">
        <v>185</v>
      </c>
      <c r="AA5" s="34">
        <v>143</v>
      </c>
      <c r="AB5" s="34">
        <v>197</v>
      </c>
      <c r="AC5" s="34">
        <v>124</v>
      </c>
      <c r="AD5" s="34">
        <v>115</v>
      </c>
      <c r="AE5" s="34">
        <v>163</v>
      </c>
      <c r="AF5" s="34">
        <v>140</v>
      </c>
    </row>
    <row r="6" spans="1:32" ht="18" customHeight="1" x14ac:dyDescent="0.3">
      <c r="A6" s="35" t="s">
        <v>42</v>
      </c>
      <c r="B6" s="35" t="s">
        <v>43</v>
      </c>
      <c r="C6" s="35" t="s">
        <v>44</v>
      </c>
      <c r="D6" s="35">
        <v>32.1388888888889</v>
      </c>
      <c r="E6" s="36">
        <v>1951</v>
      </c>
      <c r="F6" s="36">
        <v>1811</v>
      </c>
      <c r="G6" s="36">
        <v>1844</v>
      </c>
      <c r="H6" s="37">
        <v>-1.77700430282394E-2</v>
      </c>
      <c r="I6" s="38">
        <v>1811</v>
      </c>
      <c r="J6" s="38">
        <v>1643</v>
      </c>
      <c r="K6" s="38">
        <v>1744</v>
      </c>
      <c r="L6" s="39">
        <v>56050</v>
      </c>
      <c r="M6" s="40">
        <v>0.77777777777777801</v>
      </c>
      <c r="N6" s="41">
        <v>0.867288557985326</v>
      </c>
      <c r="O6" s="42">
        <v>767</v>
      </c>
      <c r="P6" s="43">
        <v>24651</v>
      </c>
      <c r="Q6" s="42" t="s">
        <v>41</v>
      </c>
      <c r="R6" s="44">
        <v>69</v>
      </c>
      <c r="S6" s="44">
        <v>225</v>
      </c>
      <c r="T6" s="42"/>
      <c r="U6" s="45">
        <v>154</v>
      </c>
      <c r="V6" s="45">
        <v>93</v>
      </c>
      <c r="W6" s="45">
        <v>133</v>
      </c>
      <c r="X6" s="45">
        <v>175</v>
      </c>
      <c r="Y6" s="45">
        <v>176</v>
      </c>
      <c r="Z6" s="45">
        <v>176</v>
      </c>
      <c r="AA6" s="45">
        <v>135</v>
      </c>
      <c r="AB6" s="45">
        <v>164</v>
      </c>
      <c r="AC6" s="45">
        <v>157</v>
      </c>
      <c r="AD6" s="45">
        <v>126</v>
      </c>
      <c r="AE6" s="45">
        <v>128</v>
      </c>
      <c r="AF6" s="45">
        <v>128</v>
      </c>
    </row>
    <row r="7" spans="1:32" ht="18" customHeight="1" x14ac:dyDescent="0.3">
      <c r="A7" s="24" t="s">
        <v>45</v>
      </c>
      <c r="B7" s="24" t="s">
        <v>46</v>
      </c>
      <c r="C7" s="24" t="s">
        <v>47</v>
      </c>
      <c r="D7" s="24">
        <v>31.9722222222222</v>
      </c>
      <c r="E7" s="25">
        <v>1658</v>
      </c>
      <c r="F7" s="25">
        <v>1923</v>
      </c>
      <c r="G7" s="25">
        <v>1821</v>
      </c>
      <c r="H7" s="46">
        <v>3.2107175722493303E-2</v>
      </c>
      <c r="I7" s="27">
        <v>1879</v>
      </c>
      <c r="J7" s="27">
        <v>2214</v>
      </c>
      <c r="K7" s="27">
        <v>2013</v>
      </c>
      <c r="L7" s="28">
        <v>64360</v>
      </c>
      <c r="M7" s="29">
        <v>0.63888888888888895</v>
      </c>
      <c r="N7" s="30">
        <v>0.92006845058145703</v>
      </c>
      <c r="O7" s="31">
        <v>459</v>
      </c>
      <c r="P7" s="32">
        <v>14675</v>
      </c>
      <c r="Q7" s="31" t="s">
        <v>41</v>
      </c>
      <c r="R7" s="33">
        <v>75</v>
      </c>
      <c r="S7" s="33">
        <v>225</v>
      </c>
      <c r="T7" s="31"/>
      <c r="U7" s="34">
        <v>155</v>
      </c>
      <c r="V7" s="34">
        <v>116</v>
      </c>
      <c r="W7" s="34">
        <v>151</v>
      </c>
      <c r="X7" s="34">
        <v>240</v>
      </c>
      <c r="Y7" s="34">
        <v>202</v>
      </c>
      <c r="Z7" s="34">
        <v>157</v>
      </c>
      <c r="AA7" s="34">
        <v>130</v>
      </c>
      <c r="AB7" s="34">
        <v>128</v>
      </c>
      <c r="AC7" s="34">
        <v>159</v>
      </c>
      <c r="AD7" s="34">
        <v>164</v>
      </c>
      <c r="AE7" s="34">
        <v>239</v>
      </c>
      <c r="AF7" s="34">
        <v>171</v>
      </c>
    </row>
    <row r="8" spans="1:32" ht="18" customHeight="1" x14ac:dyDescent="0.3">
      <c r="A8" s="35" t="s">
        <v>48</v>
      </c>
      <c r="B8" s="35" t="s">
        <v>49</v>
      </c>
      <c r="C8" s="35" t="s">
        <v>50</v>
      </c>
      <c r="D8" s="35">
        <v>29.75</v>
      </c>
      <c r="E8" s="36">
        <v>1897</v>
      </c>
      <c r="F8" s="36">
        <v>1668</v>
      </c>
      <c r="G8" s="36">
        <v>2101</v>
      </c>
      <c r="H8" s="47">
        <v>0.107468627101482</v>
      </c>
      <c r="I8" s="38">
        <v>2327</v>
      </c>
      <c r="J8" s="38">
        <v>1640</v>
      </c>
      <c r="K8" s="38">
        <v>2052</v>
      </c>
      <c r="L8" s="39">
        <v>61047</v>
      </c>
      <c r="M8" s="48">
        <v>0.72222222222222199</v>
      </c>
      <c r="N8" s="41">
        <v>0.89393826163892298</v>
      </c>
      <c r="O8" s="42">
        <v>583</v>
      </c>
      <c r="P8" s="43">
        <v>17344</v>
      </c>
      <c r="Q8" s="42" t="s">
        <v>51</v>
      </c>
      <c r="R8" s="44">
        <v>71</v>
      </c>
      <c r="S8" s="44">
        <v>228</v>
      </c>
      <c r="T8" s="42"/>
      <c r="U8" s="45">
        <v>142</v>
      </c>
      <c r="V8" s="45">
        <v>152</v>
      </c>
      <c r="W8" s="45">
        <v>137</v>
      </c>
      <c r="X8" s="45">
        <v>184</v>
      </c>
      <c r="Y8" s="45">
        <v>194</v>
      </c>
      <c r="Z8" s="45">
        <v>191</v>
      </c>
      <c r="AA8" s="45">
        <v>178</v>
      </c>
      <c r="AB8" s="45">
        <v>168</v>
      </c>
      <c r="AC8" s="45">
        <v>169</v>
      </c>
      <c r="AD8" s="45">
        <v>166</v>
      </c>
      <c r="AE8" s="45">
        <v>164</v>
      </c>
      <c r="AF8" s="45">
        <v>208</v>
      </c>
    </row>
    <row r="9" spans="1:32" ht="18" customHeight="1" x14ac:dyDescent="0.3">
      <c r="A9" s="24" t="s">
        <v>52</v>
      </c>
      <c r="B9" s="24" t="s">
        <v>53</v>
      </c>
      <c r="C9" s="24" t="s">
        <v>50</v>
      </c>
      <c r="D9" s="24">
        <v>30.7222222222222</v>
      </c>
      <c r="E9" s="25">
        <v>1949</v>
      </c>
      <c r="F9" s="25">
        <v>1903</v>
      </c>
      <c r="G9" s="25">
        <v>1837</v>
      </c>
      <c r="H9" s="26">
        <v>-3.0249987395344301E-2</v>
      </c>
      <c r="I9" s="27">
        <v>1781</v>
      </c>
      <c r="J9" s="27">
        <v>1798</v>
      </c>
      <c r="K9" s="27">
        <v>1788</v>
      </c>
      <c r="L9" s="28">
        <v>54931</v>
      </c>
      <c r="M9" s="48">
        <v>0.72222222222222199</v>
      </c>
      <c r="N9" s="30">
        <v>0.87756744019272304</v>
      </c>
      <c r="O9" s="31">
        <v>692</v>
      </c>
      <c r="P9" s="32">
        <v>21260</v>
      </c>
      <c r="Q9" s="31" t="s">
        <v>41</v>
      </c>
      <c r="R9" s="33">
        <v>75</v>
      </c>
      <c r="S9" s="33">
        <v>233</v>
      </c>
      <c r="T9" s="31"/>
      <c r="U9" s="34">
        <v>160</v>
      </c>
      <c r="V9" s="34">
        <v>117</v>
      </c>
      <c r="W9" s="34">
        <v>103</v>
      </c>
      <c r="X9" s="34">
        <v>183</v>
      </c>
      <c r="Y9" s="34">
        <v>141</v>
      </c>
      <c r="Z9" s="34">
        <v>153</v>
      </c>
      <c r="AA9" s="34">
        <v>140</v>
      </c>
      <c r="AB9" s="34">
        <v>127</v>
      </c>
      <c r="AC9" s="34">
        <v>169</v>
      </c>
      <c r="AD9" s="34">
        <v>144</v>
      </c>
      <c r="AE9" s="34">
        <v>135</v>
      </c>
      <c r="AF9" s="34">
        <v>215</v>
      </c>
    </row>
    <row r="10" spans="1:32" ht="18" customHeight="1" x14ac:dyDescent="0.3">
      <c r="A10" s="35" t="s">
        <v>54</v>
      </c>
      <c r="B10" s="35" t="s">
        <v>55</v>
      </c>
      <c r="C10" s="35" t="s">
        <v>50</v>
      </c>
      <c r="D10" s="35">
        <v>33.9166666666667</v>
      </c>
      <c r="E10" s="36">
        <v>2041</v>
      </c>
      <c r="F10" s="36">
        <v>1895</v>
      </c>
      <c r="G10" s="36">
        <v>1867</v>
      </c>
      <c r="H10" s="37">
        <v>-3.7478860147969299E-2</v>
      </c>
      <c r="I10" s="38">
        <v>1797</v>
      </c>
      <c r="J10" s="38">
        <v>1680</v>
      </c>
      <c r="K10" s="38">
        <v>1750</v>
      </c>
      <c r="L10" s="39">
        <v>59354</v>
      </c>
      <c r="M10" s="48">
        <v>0.72222222222222199</v>
      </c>
      <c r="N10" s="41">
        <v>0.90810461613897198</v>
      </c>
      <c r="O10" s="42">
        <v>483</v>
      </c>
      <c r="P10" s="43">
        <v>16382</v>
      </c>
      <c r="Q10" s="42" t="s">
        <v>41</v>
      </c>
      <c r="R10" s="44">
        <v>81</v>
      </c>
      <c r="S10" s="44">
        <v>242</v>
      </c>
      <c r="T10" s="42"/>
      <c r="U10" s="45">
        <v>146</v>
      </c>
      <c r="V10" s="45">
        <v>100</v>
      </c>
      <c r="W10" s="45">
        <v>119</v>
      </c>
      <c r="X10" s="45">
        <v>189</v>
      </c>
      <c r="Y10" s="45">
        <v>181</v>
      </c>
      <c r="Z10" s="45">
        <v>208</v>
      </c>
      <c r="AA10" s="45">
        <v>133</v>
      </c>
      <c r="AB10" s="45">
        <v>142</v>
      </c>
      <c r="AC10" s="45">
        <v>142</v>
      </c>
      <c r="AD10" s="45">
        <v>86</v>
      </c>
      <c r="AE10" s="45">
        <v>163</v>
      </c>
      <c r="AF10" s="45">
        <v>141</v>
      </c>
    </row>
    <row r="11" spans="1:32" ht="18" customHeight="1" x14ac:dyDescent="0.3">
      <c r="A11" s="24" t="s">
        <v>56</v>
      </c>
      <c r="B11" s="24" t="s">
        <v>57</v>
      </c>
      <c r="C11" s="24" t="s">
        <v>40</v>
      </c>
      <c r="D11" s="24">
        <v>28.8611111111111</v>
      </c>
      <c r="E11" s="25">
        <v>1631</v>
      </c>
      <c r="F11" s="25">
        <v>1796</v>
      </c>
      <c r="G11" s="25">
        <v>1888</v>
      </c>
      <c r="H11" s="46">
        <v>7.1200938388871496E-2</v>
      </c>
      <c r="I11" s="27">
        <v>2022</v>
      </c>
      <c r="J11" s="27">
        <v>2079</v>
      </c>
      <c r="K11" s="27">
        <v>2045</v>
      </c>
      <c r="L11" s="28">
        <v>59021</v>
      </c>
      <c r="M11" s="29">
        <v>0.63888888888888895</v>
      </c>
      <c r="N11" s="30">
        <v>0.90442345719209505</v>
      </c>
      <c r="O11" s="31">
        <v>510</v>
      </c>
      <c r="P11" s="32">
        <v>14719</v>
      </c>
      <c r="Q11" s="31" t="s">
        <v>51</v>
      </c>
      <c r="R11" s="33">
        <v>59</v>
      </c>
      <c r="S11" s="33">
        <v>207</v>
      </c>
      <c r="T11" s="31"/>
      <c r="U11" s="34">
        <v>149</v>
      </c>
      <c r="V11" s="34">
        <v>159</v>
      </c>
      <c r="W11" s="34">
        <v>158</v>
      </c>
      <c r="X11" s="34">
        <v>174</v>
      </c>
      <c r="Y11" s="34">
        <v>149</v>
      </c>
      <c r="Z11" s="34">
        <v>201</v>
      </c>
      <c r="AA11" s="34">
        <v>115</v>
      </c>
      <c r="AB11" s="34">
        <v>207</v>
      </c>
      <c r="AC11" s="34">
        <v>193</v>
      </c>
      <c r="AD11" s="34">
        <v>170</v>
      </c>
      <c r="AE11" s="34">
        <v>150</v>
      </c>
      <c r="AF11" s="34">
        <v>219</v>
      </c>
    </row>
    <row r="12" spans="1:32" ht="18" customHeight="1" x14ac:dyDescent="0.3">
      <c r="A12" s="35" t="s">
        <v>58</v>
      </c>
      <c r="B12" s="35" t="s">
        <v>59</v>
      </c>
      <c r="C12" s="35" t="s">
        <v>44</v>
      </c>
      <c r="D12" s="35">
        <v>27.8888888888889</v>
      </c>
      <c r="E12" s="36">
        <v>1847</v>
      </c>
      <c r="F12" s="36">
        <v>1886</v>
      </c>
      <c r="G12" s="36">
        <v>1945</v>
      </c>
      <c r="H12" s="47">
        <v>2.7216012208614401E-2</v>
      </c>
      <c r="I12" s="38">
        <v>1998</v>
      </c>
      <c r="J12" s="38">
        <v>1977</v>
      </c>
      <c r="K12" s="38">
        <v>1990</v>
      </c>
      <c r="L12" s="39">
        <v>55499</v>
      </c>
      <c r="M12" s="40">
        <v>0.80555555555555602</v>
      </c>
      <c r="N12" s="41">
        <v>0.88575658270955004</v>
      </c>
      <c r="O12" s="42">
        <v>678</v>
      </c>
      <c r="P12" s="43">
        <v>18909</v>
      </c>
      <c r="Q12" s="42" t="s">
        <v>41</v>
      </c>
      <c r="R12" s="44">
        <v>72</v>
      </c>
      <c r="S12" s="44">
        <v>230</v>
      </c>
      <c r="T12" s="42"/>
      <c r="U12" s="45">
        <v>166</v>
      </c>
      <c r="V12" s="45">
        <v>110</v>
      </c>
      <c r="W12" s="45">
        <v>164</v>
      </c>
      <c r="X12" s="45">
        <v>213</v>
      </c>
      <c r="Y12" s="45">
        <v>222</v>
      </c>
      <c r="Z12" s="45">
        <v>185</v>
      </c>
      <c r="AA12" s="45">
        <v>161</v>
      </c>
      <c r="AB12" s="45">
        <v>150</v>
      </c>
      <c r="AC12" s="45">
        <v>157</v>
      </c>
      <c r="AD12" s="45">
        <v>113</v>
      </c>
      <c r="AE12" s="45">
        <v>162</v>
      </c>
      <c r="AF12" s="45">
        <v>187</v>
      </c>
    </row>
    <row r="13" spans="1:32" ht="18" customHeight="1" x14ac:dyDescent="0.3">
      <c r="A13" s="24" t="s">
        <v>60</v>
      </c>
      <c r="B13" s="24" t="s">
        <v>61</v>
      </c>
      <c r="C13" s="24" t="s">
        <v>62</v>
      </c>
      <c r="D13" s="24">
        <v>27.75</v>
      </c>
      <c r="E13" s="25">
        <v>1938</v>
      </c>
      <c r="F13" s="25">
        <v>1805</v>
      </c>
      <c r="G13" s="25">
        <v>1695</v>
      </c>
      <c r="H13" s="26">
        <v>-6.4016077345065495E-2</v>
      </c>
      <c r="I13" s="27">
        <v>1586</v>
      </c>
      <c r="J13" s="27">
        <v>1554</v>
      </c>
      <c r="K13" s="27">
        <v>1573</v>
      </c>
      <c r="L13" s="28">
        <v>43651</v>
      </c>
      <c r="M13" s="48">
        <v>0.72222222222222199</v>
      </c>
      <c r="N13" s="30">
        <v>0.87741081946560096</v>
      </c>
      <c r="O13" s="31">
        <v>691</v>
      </c>
      <c r="P13" s="32">
        <v>19175</v>
      </c>
      <c r="Q13" s="31" t="s">
        <v>63</v>
      </c>
      <c r="R13" s="33">
        <v>69</v>
      </c>
      <c r="S13" s="33">
        <v>220</v>
      </c>
      <c r="T13" s="31"/>
      <c r="U13" s="34">
        <v>111</v>
      </c>
      <c r="V13" s="34">
        <v>108</v>
      </c>
      <c r="W13" s="34">
        <v>107</v>
      </c>
      <c r="X13" s="34">
        <v>146</v>
      </c>
      <c r="Y13" s="34">
        <v>154</v>
      </c>
      <c r="Z13" s="34">
        <v>148</v>
      </c>
      <c r="AA13" s="34">
        <v>128</v>
      </c>
      <c r="AB13" s="34">
        <v>135</v>
      </c>
      <c r="AC13" s="34">
        <v>103</v>
      </c>
      <c r="AD13" s="34">
        <v>97</v>
      </c>
      <c r="AE13" s="34">
        <v>185</v>
      </c>
      <c r="AF13" s="34">
        <v>151</v>
      </c>
    </row>
    <row r="14" spans="1:32" ht="18" customHeight="1" x14ac:dyDescent="0.3">
      <c r="A14" s="35" t="s">
        <v>64</v>
      </c>
      <c r="B14" s="35" t="s">
        <v>65</v>
      </c>
      <c r="C14" s="35" t="s">
        <v>50</v>
      </c>
      <c r="D14" s="35">
        <v>29.3611111111111</v>
      </c>
      <c r="E14" s="36">
        <v>1933</v>
      </c>
      <c r="F14" s="36">
        <v>1701</v>
      </c>
      <c r="G14" s="36">
        <v>1709</v>
      </c>
      <c r="H14" s="37">
        <v>-4.5186407800651598E-2</v>
      </c>
      <c r="I14" s="38">
        <v>1632</v>
      </c>
      <c r="J14" s="38">
        <v>1393</v>
      </c>
      <c r="K14" s="38">
        <v>1536</v>
      </c>
      <c r="L14" s="39">
        <v>45099</v>
      </c>
      <c r="M14" s="40">
        <v>0.77777777777777801</v>
      </c>
      <c r="N14" s="41">
        <v>0.89201041282587501</v>
      </c>
      <c r="O14" s="42">
        <v>591</v>
      </c>
      <c r="P14" s="43">
        <v>17352</v>
      </c>
      <c r="Q14" s="42" t="s">
        <v>63</v>
      </c>
      <c r="R14" s="44">
        <v>61</v>
      </c>
      <c r="S14" s="44">
        <v>209</v>
      </c>
      <c r="T14" s="42"/>
      <c r="U14" s="45">
        <v>106</v>
      </c>
      <c r="V14" s="45">
        <v>90</v>
      </c>
      <c r="W14" s="45">
        <v>130</v>
      </c>
      <c r="X14" s="45">
        <v>133</v>
      </c>
      <c r="Y14" s="45">
        <v>123</v>
      </c>
      <c r="Z14" s="45">
        <v>161</v>
      </c>
      <c r="AA14" s="45">
        <v>162</v>
      </c>
      <c r="AB14" s="45">
        <v>144</v>
      </c>
      <c r="AC14" s="45">
        <v>132</v>
      </c>
      <c r="AD14" s="45">
        <v>108</v>
      </c>
      <c r="AE14" s="45">
        <v>124</v>
      </c>
      <c r="AF14" s="45">
        <v>125</v>
      </c>
    </row>
    <row r="15" spans="1:32" ht="18" customHeight="1" x14ac:dyDescent="0.3">
      <c r="A15" s="24" t="s">
        <v>66</v>
      </c>
      <c r="B15" s="24" t="s">
        <v>67</v>
      </c>
      <c r="C15" s="24" t="s">
        <v>50</v>
      </c>
      <c r="D15" s="24">
        <v>28.8611111111111</v>
      </c>
      <c r="E15" s="25">
        <v>1838</v>
      </c>
      <c r="F15" s="25">
        <v>1672</v>
      </c>
      <c r="G15" s="25">
        <v>2049</v>
      </c>
      <c r="H15" s="46">
        <v>9.9160857183020798E-2</v>
      </c>
      <c r="I15" s="27">
        <v>2252</v>
      </c>
      <c r="J15" s="27">
        <v>1693</v>
      </c>
      <c r="K15" s="27">
        <v>2028</v>
      </c>
      <c r="L15" s="28">
        <v>58530</v>
      </c>
      <c r="M15" s="48">
        <v>0.69444444444444398</v>
      </c>
      <c r="N15" s="30">
        <v>0.88683763783006997</v>
      </c>
      <c r="O15" s="31">
        <v>596</v>
      </c>
      <c r="P15" s="32">
        <v>17201</v>
      </c>
      <c r="Q15" s="31" t="s">
        <v>51</v>
      </c>
      <c r="R15" s="33">
        <v>85</v>
      </c>
      <c r="S15" s="33">
        <v>239</v>
      </c>
      <c r="T15" s="31"/>
      <c r="U15" s="34">
        <v>109</v>
      </c>
      <c r="V15" s="34">
        <v>111</v>
      </c>
      <c r="W15" s="34">
        <v>129</v>
      </c>
      <c r="X15" s="34">
        <v>249</v>
      </c>
      <c r="Y15" s="34">
        <v>224</v>
      </c>
      <c r="Z15" s="34">
        <v>204</v>
      </c>
      <c r="AA15" s="34">
        <v>139</v>
      </c>
      <c r="AB15" s="34">
        <v>152</v>
      </c>
      <c r="AC15" s="34">
        <v>178</v>
      </c>
      <c r="AD15" s="34">
        <v>138</v>
      </c>
      <c r="AE15" s="34">
        <v>179</v>
      </c>
      <c r="AF15" s="34">
        <v>217</v>
      </c>
    </row>
    <row r="16" spans="1:32" ht="18" customHeight="1" x14ac:dyDescent="0.3">
      <c r="A16" s="35" t="s">
        <v>68</v>
      </c>
      <c r="B16" s="35" t="s">
        <v>69</v>
      </c>
      <c r="C16" s="35" t="s">
        <v>70</v>
      </c>
      <c r="D16" s="35">
        <v>32.6666666666667</v>
      </c>
      <c r="E16" s="36">
        <v>1767</v>
      </c>
      <c r="F16" s="36">
        <v>1861</v>
      </c>
      <c r="G16" s="36">
        <v>1769</v>
      </c>
      <c r="H16" s="37">
        <v>-8.3824683651893706E-3</v>
      </c>
      <c r="I16" s="38">
        <v>1754</v>
      </c>
      <c r="J16" s="38">
        <v>1928</v>
      </c>
      <c r="K16" s="38">
        <v>1824</v>
      </c>
      <c r="L16" s="39">
        <v>59584</v>
      </c>
      <c r="M16" s="29">
        <v>0.63888888888888895</v>
      </c>
      <c r="N16" s="41">
        <v>0.92548365429067803</v>
      </c>
      <c r="O16" s="42">
        <v>368</v>
      </c>
      <c r="P16" s="43">
        <v>12021</v>
      </c>
      <c r="Q16" s="42" t="s">
        <v>41</v>
      </c>
      <c r="R16" s="44">
        <v>74</v>
      </c>
      <c r="S16" s="44">
        <v>224</v>
      </c>
      <c r="T16" s="42"/>
      <c r="U16" s="45">
        <v>126</v>
      </c>
      <c r="V16" s="45">
        <v>88</v>
      </c>
      <c r="W16" s="45">
        <v>141</v>
      </c>
      <c r="X16" s="45">
        <v>179</v>
      </c>
      <c r="Y16" s="45">
        <v>159</v>
      </c>
      <c r="Z16" s="45">
        <v>209</v>
      </c>
      <c r="AA16" s="45">
        <v>116</v>
      </c>
      <c r="AB16" s="45">
        <v>148</v>
      </c>
      <c r="AC16" s="45">
        <v>170</v>
      </c>
      <c r="AD16" s="45">
        <v>143</v>
      </c>
      <c r="AE16" s="45">
        <v>162</v>
      </c>
      <c r="AF16" s="45">
        <v>183</v>
      </c>
    </row>
    <row r="17" spans="1:32" ht="18" customHeight="1" x14ac:dyDescent="0.3">
      <c r="A17" s="24" t="s">
        <v>71</v>
      </c>
      <c r="B17" s="24" t="s">
        <v>72</v>
      </c>
      <c r="C17" s="24" t="s">
        <v>73</v>
      </c>
      <c r="D17" s="24">
        <v>24.5833333333333</v>
      </c>
      <c r="E17" s="25">
        <v>1646</v>
      </c>
      <c r="F17" s="25">
        <v>1699</v>
      </c>
      <c r="G17" s="25">
        <v>1963</v>
      </c>
      <c r="H17" s="46">
        <v>0.10611102092074801</v>
      </c>
      <c r="I17" s="27">
        <v>2171</v>
      </c>
      <c r="J17" s="27">
        <v>1942</v>
      </c>
      <c r="K17" s="27">
        <v>2079</v>
      </c>
      <c r="L17" s="28">
        <v>51109</v>
      </c>
      <c r="M17" s="40">
        <v>0.77777777777777801</v>
      </c>
      <c r="N17" s="30">
        <v>0.87174149105862897</v>
      </c>
      <c r="O17" s="31">
        <v>675</v>
      </c>
      <c r="P17" s="32">
        <v>16594</v>
      </c>
      <c r="Q17" s="31" t="s">
        <v>51</v>
      </c>
      <c r="R17" s="33">
        <v>77</v>
      </c>
      <c r="S17" s="33">
        <v>224</v>
      </c>
      <c r="T17" s="31"/>
      <c r="U17" s="34">
        <v>129</v>
      </c>
      <c r="V17" s="34">
        <v>136</v>
      </c>
      <c r="W17" s="34">
        <v>152</v>
      </c>
      <c r="X17" s="34">
        <v>189</v>
      </c>
      <c r="Y17" s="34">
        <v>189</v>
      </c>
      <c r="Z17" s="34">
        <v>244</v>
      </c>
      <c r="AA17" s="34">
        <v>158</v>
      </c>
      <c r="AB17" s="34">
        <v>146</v>
      </c>
      <c r="AC17" s="34">
        <v>148</v>
      </c>
      <c r="AD17" s="34">
        <v>151</v>
      </c>
      <c r="AE17" s="34">
        <v>242</v>
      </c>
      <c r="AF17" s="34">
        <v>196</v>
      </c>
    </row>
    <row r="18" spans="1:32" ht="18" customHeight="1" x14ac:dyDescent="0.3">
      <c r="A18" s="35" t="s">
        <v>74</v>
      </c>
      <c r="B18" s="35" t="s">
        <v>75</v>
      </c>
      <c r="C18" s="35" t="s">
        <v>76</v>
      </c>
      <c r="D18" s="35">
        <v>28.1666666666667</v>
      </c>
      <c r="E18" s="36">
        <v>1762</v>
      </c>
      <c r="F18" s="36">
        <v>1628</v>
      </c>
      <c r="G18" s="36">
        <v>2049</v>
      </c>
      <c r="H18" s="47">
        <v>0.124739727861181</v>
      </c>
      <c r="I18" s="38">
        <v>2305</v>
      </c>
      <c r="J18" s="38">
        <v>1721</v>
      </c>
      <c r="K18" s="38">
        <v>2071</v>
      </c>
      <c r="L18" s="39">
        <v>58333</v>
      </c>
      <c r="M18" s="48">
        <v>0.66666666666666696</v>
      </c>
      <c r="N18" s="41">
        <v>0.91572290545336599</v>
      </c>
      <c r="O18" s="42">
        <v>436</v>
      </c>
      <c r="P18" s="43">
        <v>12281</v>
      </c>
      <c r="Q18" s="42" t="s">
        <v>77</v>
      </c>
      <c r="R18" s="44">
        <v>75</v>
      </c>
      <c r="S18" s="44">
        <v>226</v>
      </c>
      <c r="T18" s="42"/>
      <c r="U18" s="45">
        <v>124</v>
      </c>
      <c r="V18" s="45">
        <v>142</v>
      </c>
      <c r="W18" s="45">
        <v>151</v>
      </c>
      <c r="X18" s="45">
        <v>183</v>
      </c>
      <c r="Y18" s="45">
        <v>180</v>
      </c>
      <c r="Z18" s="45">
        <v>252</v>
      </c>
      <c r="AA18" s="45">
        <v>161</v>
      </c>
      <c r="AB18" s="45">
        <v>194</v>
      </c>
      <c r="AC18" s="45">
        <v>167</v>
      </c>
      <c r="AD18" s="45">
        <v>136</v>
      </c>
      <c r="AE18" s="45">
        <v>139</v>
      </c>
      <c r="AF18" s="45">
        <v>241</v>
      </c>
    </row>
    <row r="19" spans="1:32" ht="18" customHeight="1" x14ac:dyDescent="0.3">
      <c r="A19" s="24" t="s">
        <v>78</v>
      </c>
      <c r="B19" s="24" t="s">
        <v>79</v>
      </c>
      <c r="C19" s="24" t="s">
        <v>76</v>
      </c>
      <c r="D19" s="24">
        <v>24.0555555555556</v>
      </c>
      <c r="E19" s="25">
        <v>1830</v>
      </c>
      <c r="F19" s="25">
        <v>1904</v>
      </c>
      <c r="G19" s="25">
        <v>2166</v>
      </c>
      <c r="H19" s="46">
        <v>9.8737888598062207E-2</v>
      </c>
      <c r="I19" s="27">
        <v>2380</v>
      </c>
      <c r="J19" s="27">
        <v>2174</v>
      </c>
      <c r="K19" s="27">
        <v>2298</v>
      </c>
      <c r="L19" s="28">
        <v>55280</v>
      </c>
      <c r="M19" s="40">
        <v>0.77777777777777801</v>
      </c>
      <c r="N19" s="30">
        <v>0.88207920854567701</v>
      </c>
      <c r="O19" s="31">
        <v>668</v>
      </c>
      <c r="P19" s="32">
        <v>16069</v>
      </c>
      <c r="Q19" s="31" t="s">
        <v>51</v>
      </c>
      <c r="R19" s="33">
        <v>76</v>
      </c>
      <c r="S19" s="33">
        <v>240</v>
      </c>
      <c r="T19" s="31"/>
      <c r="U19" s="34">
        <v>214</v>
      </c>
      <c r="V19" s="34">
        <v>146</v>
      </c>
      <c r="W19" s="34">
        <v>128</v>
      </c>
      <c r="X19" s="34">
        <v>269</v>
      </c>
      <c r="Y19" s="34">
        <v>262</v>
      </c>
      <c r="Z19" s="34">
        <v>222</v>
      </c>
      <c r="AA19" s="34">
        <v>151</v>
      </c>
      <c r="AB19" s="34">
        <v>173</v>
      </c>
      <c r="AC19" s="34">
        <v>176</v>
      </c>
      <c r="AD19" s="34">
        <v>212</v>
      </c>
      <c r="AE19" s="34">
        <v>175</v>
      </c>
      <c r="AF19" s="34">
        <v>169</v>
      </c>
    </row>
    <row r="20" spans="1:32" ht="18" customHeight="1" x14ac:dyDescent="0.3">
      <c r="A20" s="35" t="s">
        <v>80</v>
      </c>
      <c r="B20" s="35" t="s">
        <v>81</v>
      </c>
      <c r="C20" s="35" t="s">
        <v>62</v>
      </c>
      <c r="D20" s="35">
        <v>27.3333333333333</v>
      </c>
      <c r="E20" s="36">
        <v>1722</v>
      </c>
      <c r="F20" s="36">
        <v>1631</v>
      </c>
      <c r="G20" s="36">
        <v>1837</v>
      </c>
      <c r="H20" s="47">
        <v>5.4643517618499303E-2</v>
      </c>
      <c r="I20" s="38">
        <v>1937</v>
      </c>
      <c r="J20" s="38">
        <v>1642</v>
      </c>
      <c r="K20" s="38">
        <v>1819</v>
      </c>
      <c r="L20" s="39">
        <v>49719</v>
      </c>
      <c r="M20" s="48">
        <v>0.72222222222222199</v>
      </c>
      <c r="N20" s="41">
        <v>0.88897940771814499</v>
      </c>
      <c r="O20" s="42">
        <v>606</v>
      </c>
      <c r="P20" s="43">
        <v>16564</v>
      </c>
      <c r="Q20" s="42" t="s">
        <v>51</v>
      </c>
      <c r="R20" s="44">
        <v>86</v>
      </c>
      <c r="S20" s="44">
        <v>230</v>
      </c>
      <c r="T20" s="42"/>
      <c r="U20" s="45">
        <v>96</v>
      </c>
      <c r="V20" s="45">
        <v>121</v>
      </c>
      <c r="W20" s="45">
        <v>92</v>
      </c>
      <c r="X20" s="45">
        <v>196</v>
      </c>
      <c r="Y20" s="45">
        <v>178</v>
      </c>
      <c r="Z20" s="45">
        <v>187</v>
      </c>
      <c r="AA20" s="45">
        <v>180</v>
      </c>
      <c r="AB20" s="45">
        <v>135</v>
      </c>
      <c r="AC20" s="45">
        <v>117</v>
      </c>
      <c r="AD20" s="45">
        <v>105</v>
      </c>
      <c r="AE20" s="45">
        <v>215</v>
      </c>
      <c r="AF20" s="45">
        <v>198</v>
      </c>
    </row>
    <row r="21" spans="1:32" ht="18" customHeight="1" x14ac:dyDescent="0.3">
      <c r="A21" s="24" t="s">
        <v>82</v>
      </c>
      <c r="B21" s="24" t="s">
        <v>83</v>
      </c>
      <c r="C21" s="24" t="s">
        <v>62</v>
      </c>
      <c r="D21" s="24">
        <v>31.1388888888889</v>
      </c>
      <c r="E21" s="25">
        <v>1855</v>
      </c>
      <c r="F21" s="25">
        <v>1850</v>
      </c>
      <c r="G21" s="25">
        <v>1963</v>
      </c>
      <c r="H21" s="46">
        <v>3.5570481532745703E-2</v>
      </c>
      <c r="I21" s="27">
        <v>2033</v>
      </c>
      <c r="J21" s="27">
        <v>1917</v>
      </c>
      <c r="K21" s="27">
        <v>1987</v>
      </c>
      <c r="L21" s="28">
        <v>61873</v>
      </c>
      <c r="M21" s="29">
        <v>0.61111111111111105</v>
      </c>
      <c r="N21" s="30">
        <v>0.91247663420554004</v>
      </c>
      <c r="O21" s="31">
        <v>510</v>
      </c>
      <c r="P21" s="32">
        <v>15881</v>
      </c>
      <c r="Q21" s="31" t="s">
        <v>41</v>
      </c>
      <c r="R21" s="33">
        <v>69</v>
      </c>
      <c r="S21" s="33">
        <v>226</v>
      </c>
      <c r="T21" s="31"/>
      <c r="U21" s="34">
        <v>189</v>
      </c>
      <c r="V21" s="34">
        <v>130</v>
      </c>
      <c r="W21" s="34">
        <v>149</v>
      </c>
      <c r="X21" s="34">
        <v>213</v>
      </c>
      <c r="Y21" s="34">
        <v>170</v>
      </c>
      <c r="Z21" s="34">
        <v>196</v>
      </c>
      <c r="AA21" s="34">
        <v>155</v>
      </c>
      <c r="AB21" s="34">
        <v>154</v>
      </c>
      <c r="AC21" s="34">
        <v>113</v>
      </c>
      <c r="AD21" s="34">
        <v>165</v>
      </c>
      <c r="AE21" s="34">
        <v>153</v>
      </c>
      <c r="AF21" s="34">
        <v>201</v>
      </c>
    </row>
    <row r="22" spans="1:32" ht="18" customHeight="1" x14ac:dyDescent="0.3">
      <c r="A22" s="35" t="s">
        <v>84</v>
      </c>
      <c r="B22" s="35" t="s">
        <v>85</v>
      </c>
      <c r="C22" s="35" t="s">
        <v>50</v>
      </c>
      <c r="D22" s="35">
        <v>31.3333333333333</v>
      </c>
      <c r="E22" s="36">
        <v>1999</v>
      </c>
      <c r="F22" s="36">
        <v>2000</v>
      </c>
      <c r="G22" s="36">
        <v>1853</v>
      </c>
      <c r="H22" s="37">
        <v>-4.3899899949975001E-2</v>
      </c>
      <c r="I22" s="38">
        <v>1772</v>
      </c>
      <c r="J22" s="38">
        <v>1906</v>
      </c>
      <c r="K22" s="38">
        <v>1826</v>
      </c>
      <c r="L22" s="39">
        <v>57215</v>
      </c>
      <c r="M22" s="48">
        <v>0.72222222222222199</v>
      </c>
      <c r="N22" s="41">
        <v>0.88705263031293402</v>
      </c>
      <c r="O22" s="42">
        <v>650</v>
      </c>
      <c r="P22" s="43">
        <v>20367</v>
      </c>
      <c r="Q22" s="42" t="s">
        <v>63</v>
      </c>
      <c r="R22" s="44">
        <v>73</v>
      </c>
      <c r="S22" s="44">
        <v>236</v>
      </c>
      <c r="T22" s="42"/>
      <c r="U22" s="45">
        <v>118</v>
      </c>
      <c r="V22" s="45">
        <v>140</v>
      </c>
      <c r="W22" s="45">
        <v>128</v>
      </c>
      <c r="X22" s="45">
        <v>197</v>
      </c>
      <c r="Y22" s="45">
        <v>162</v>
      </c>
      <c r="Z22" s="45">
        <v>220</v>
      </c>
      <c r="AA22" s="45">
        <v>141</v>
      </c>
      <c r="AB22" s="45">
        <v>146</v>
      </c>
      <c r="AC22" s="45">
        <v>160</v>
      </c>
      <c r="AD22" s="45">
        <v>117</v>
      </c>
      <c r="AE22" s="45">
        <v>160</v>
      </c>
      <c r="AF22" s="45">
        <v>137</v>
      </c>
    </row>
    <row r="23" spans="1:32" ht="18" customHeight="1" x14ac:dyDescent="0.3">
      <c r="A23" s="24" t="s">
        <v>86</v>
      </c>
      <c r="B23" s="24" t="s">
        <v>87</v>
      </c>
      <c r="C23" s="24" t="s">
        <v>70</v>
      </c>
      <c r="D23" s="24">
        <v>29.6388888888889</v>
      </c>
      <c r="E23" s="25">
        <v>1647</v>
      </c>
      <c r="F23" s="25">
        <v>1867</v>
      </c>
      <c r="G23" s="25">
        <v>1936</v>
      </c>
      <c r="H23" s="46">
        <v>7.5605091336474195E-2</v>
      </c>
      <c r="I23" s="27">
        <v>2082</v>
      </c>
      <c r="J23" s="27">
        <v>2209</v>
      </c>
      <c r="K23" s="27">
        <v>2133</v>
      </c>
      <c r="L23" s="28">
        <v>63220</v>
      </c>
      <c r="M23" s="48">
        <v>0.72222222222222199</v>
      </c>
      <c r="N23" s="30">
        <v>0.89587262087491004</v>
      </c>
      <c r="O23" s="31">
        <v>551</v>
      </c>
      <c r="P23" s="32">
        <v>16331</v>
      </c>
      <c r="Q23" s="31" t="s">
        <v>51</v>
      </c>
      <c r="R23" s="33">
        <v>69</v>
      </c>
      <c r="S23" s="33">
        <v>220</v>
      </c>
      <c r="T23" s="31"/>
      <c r="U23" s="34">
        <v>204</v>
      </c>
      <c r="V23" s="34">
        <v>117</v>
      </c>
      <c r="W23" s="34">
        <v>124</v>
      </c>
      <c r="X23" s="34">
        <v>193</v>
      </c>
      <c r="Y23" s="34">
        <v>249</v>
      </c>
      <c r="Z23" s="34">
        <v>207</v>
      </c>
      <c r="AA23" s="34">
        <v>201</v>
      </c>
      <c r="AB23" s="34">
        <v>185</v>
      </c>
      <c r="AC23" s="34">
        <v>131</v>
      </c>
      <c r="AD23" s="34">
        <v>145</v>
      </c>
      <c r="AE23" s="34">
        <v>213</v>
      </c>
      <c r="AF23" s="34">
        <v>166</v>
      </c>
    </row>
    <row r="24" spans="1:32" ht="18" customHeight="1" x14ac:dyDescent="0.3">
      <c r="A24" s="35" t="s">
        <v>88</v>
      </c>
      <c r="B24" s="35" t="s">
        <v>89</v>
      </c>
      <c r="C24" s="35" t="s">
        <v>44</v>
      </c>
      <c r="D24" s="35">
        <v>27.3055555555556</v>
      </c>
      <c r="E24" s="36">
        <v>1798</v>
      </c>
      <c r="F24" s="36">
        <v>1792</v>
      </c>
      <c r="G24" s="36">
        <v>2009</v>
      </c>
      <c r="H24" s="47">
        <v>7.1321433537263598E-2</v>
      </c>
      <c r="I24" s="38">
        <v>2152</v>
      </c>
      <c r="J24" s="38">
        <v>1925</v>
      </c>
      <c r="K24" s="38">
        <v>2061</v>
      </c>
      <c r="L24" s="39">
        <v>56277</v>
      </c>
      <c r="M24" s="40">
        <v>0.77777777777777801</v>
      </c>
      <c r="N24" s="41">
        <v>0.87382327586627695</v>
      </c>
      <c r="O24" s="42">
        <v>694</v>
      </c>
      <c r="P24" s="43">
        <v>18950</v>
      </c>
      <c r="Q24" s="42" t="s">
        <v>51</v>
      </c>
      <c r="R24" s="44">
        <v>80</v>
      </c>
      <c r="S24" s="44">
        <v>236</v>
      </c>
      <c r="T24" s="42"/>
      <c r="U24" s="45">
        <v>186</v>
      </c>
      <c r="V24" s="45">
        <v>149</v>
      </c>
      <c r="W24" s="45">
        <v>126</v>
      </c>
      <c r="X24" s="45">
        <v>182</v>
      </c>
      <c r="Y24" s="45">
        <v>258</v>
      </c>
      <c r="Z24" s="45">
        <v>225</v>
      </c>
      <c r="AA24" s="45">
        <v>148</v>
      </c>
      <c r="AB24" s="45">
        <v>163</v>
      </c>
      <c r="AC24" s="45">
        <v>153</v>
      </c>
      <c r="AD24" s="45">
        <v>107</v>
      </c>
      <c r="AE24" s="45">
        <v>195</v>
      </c>
      <c r="AF24" s="45">
        <v>169</v>
      </c>
    </row>
    <row r="25" spans="1:32" ht="21.75" customHeight="1" x14ac:dyDescent="0.3">
      <c r="A25" s="49" t="s">
        <v>90</v>
      </c>
      <c r="E25" s="50">
        <f>SUM(E5:E24)</f>
        <v>36400</v>
      </c>
      <c r="F25" s="50">
        <f>SUM(F5:F24)</f>
        <v>36156</v>
      </c>
      <c r="G25" s="50">
        <f>SUM(G5:G24)</f>
        <v>37982</v>
      </c>
      <c r="I25" s="50">
        <f>SUM(I5:I24)</f>
        <v>39322</v>
      </c>
      <c r="J25" s="50">
        <f>SUM(J5:J24)</f>
        <v>37014</v>
      </c>
      <c r="K25" s="50">
        <f>SUM(K5:K24)</f>
        <v>38399</v>
      </c>
      <c r="L25" s="51">
        <f>SUM(L5:L24)</f>
        <v>1126334</v>
      </c>
      <c r="P25" s="51">
        <f>SUM(P5:P24)</f>
        <v>344192</v>
      </c>
      <c r="U25" s="52">
        <f t="shared" ref="U25:AF25" si="0">SUM(U5:U24)</f>
        <v>2957</v>
      </c>
      <c r="V25" s="52">
        <f t="shared" si="0"/>
        <v>2441</v>
      </c>
      <c r="W25" s="52">
        <f t="shared" si="0"/>
        <v>2622</v>
      </c>
      <c r="X25" s="52">
        <f t="shared" si="0"/>
        <v>3841</v>
      </c>
      <c r="Y25" s="52">
        <f t="shared" si="0"/>
        <v>3744</v>
      </c>
      <c r="Z25" s="52">
        <f t="shared" si="0"/>
        <v>3931</v>
      </c>
      <c r="AA25" s="52">
        <f t="shared" si="0"/>
        <v>2975</v>
      </c>
      <c r="AB25" s="52">
        <f t="shared" si="0"/>
        <v>3158</v>
      </c>
      <c r="AC25" s="52">
        <f t="shared" si="0"/>
        <v>3018</v>
      </c>
      <c r="AD25" s="52">
        <f t="shared" si="0"/>
        <v>2708</v>
      </c>
      <c r="AE25" s="52">
        <f t="shared" si="0"/>
        <v>3446</v>
      </c>
      <c r="AF25" s="52">
        <f t="shared" si="0"/>
        <v>3562</v>
      </c>
    </row>
  </sheetData>
  <mergeCells count="7">
    <mergeCell ref="A1:AF1"/>
    <mergeCell ref="A2:AF2"/>
    <mergeCell ref="A3:D3"/>
    <mergeCell ref="E3:K3"/>
    <mergeCell ref="M3:P3"/>
    <mergeCell ref="Q3:R3"/>
    <mergeCell ref="T3:A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Q1"/>
    </sheetView>
  </sheetViews>
  <sheetFormatPr defaultColWidth="8.6640625" defaultRowHeight="14.4" x14ac:dyDescent="0.3"/>
  <cols>
    <col min="1" max="1" width="9" customWidth="1"/>
    <col min="2" max="2" width="22" customWidth="1"/>
    <col min="3" max="3" width="13" customWidth="1"/>
    <col min="4" max="15" width="7" customWidth="1"/>
    <col min="16" max="17" width="10" customWidth="1"/>
  </cols>
  <sheetData>
    <row r="1" spans="1:17" ht="31.5" customHeight="1" x14ac:dyDescent="0.3">
      <c r="A1" s="7" t="s">
        <v>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" customHeight="1" x14ac:dyDescent="0.3">
      <c r="A2" s="13" t="s">
        <v>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3.75" customHeight="1" x14ac:dyDescent="0.3">
      <c r="A3" s="19" t="s">
        <v>8</v>
      </c>
      <c r="B3" s="19" t="s">
        <v>93</v>
      </c>
      <c r="C3" s="19" t="s">
        <v>10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94</v>
      </c>
      <c r="P3" s="19" t="s">
        <v>95</v>
      </c>
      <c r="Q3" s="19" t="s">
        <v>96</v>
      </c>
    </row>
    <row r="4" spans="1:17" ht="18" customHeight="1" x14ac:dyDescent="0.3">
      <c r="A4" s="53" t="s">
        <v>38</v>
      </c>
      <c r="B4" s="54" t="s">
        <v>39</v>
      </c>
      <c r="C4" s="53" t="s">
        <v>40</v>
      </c>
      <c r="D4" s="55">
        <v>1.167</v>
      </c>
      <c r="E4" s="56">
        <v>0.78200000000000003</v>
      </c>
      <c r="F4" s="57">
        <v>0.67200000000000004</v>
      </c>
      <c r="G4" s="58">
        <v>1.036</v>
      </c>
      <c r="H4" s="55">
        <v>1.153</v>
      </c>
      <c r="I4" s="55">
        <v>1.2490000000000001</v>
      </c>
      <c r="J4" s="58">
        <v>0.96499999999999997</v>
      </c>
      <c r="K4" s="59">
        <v>1.325</v>
      </c>
      <c r="L4" s="56">
        <v>0.83699999999999997</v>
      </c>
      <c r="M4" s="56">
        <v>0.77700000000000002</v>
      </c>
      <c r="N4" s="60">
        <v>1.1000000000000001</v>
      </c>
      <c r="O4" s="61">
        <v>0.94</v>
      </c>
      <c r="P4" s="62" t="s">
        <v>34</v>
      </c>
      <c r="Q4" s="63" t="s">
        <v>29</v>
      </c>
    </row>
    <row r="5" spans="1:17" ht="18" customHeight="1" x14ac:dyDescent="0.3">
      <c r="A5" s="64" t="s">
        <v>42</v>
      </c>
      <c r="B5" s="65" t="s">
        <v>43</v>
      </c>
      <c r="C5" s="64" t="s">
        <v>44</v>
      </c>
      <c r="D5" s="60">
        <v>1.0569999999999999</v>
      </c>
      <c r="E5" s="57">
        <v>0.63800000000000001</v>
      </c>
      <c r="F5" s="61">
        <v>0.91400000000000003</v>
      </c>
      <c r="G5" s="55">
        <v>1.2050000000000001</v>
      </c>
      <c r="H5" s="55">
        <v>1.212</v>
      </c>
      <c r="I5" s="55">
        <v>1.212</v>
      </c>
      <c r="J5" s="61">
        <v>0.92700000000000005</v>
      </c>
      <c r="K5" s="60">
        <v>1.1299999999999999</v>
      </c>
      <c r="L5" s="60">
        <v>1.079</v>
      </c>
      <c r="M5" s="61">
        <v>0.86699999999999999</v>
      </c>
      <c r="N5" s="61">
        <v>0.88</v>
      </c>
      <c r="O5" s="61">
        <v>0.88</v>
      </c>
      <c r="P5" s="62" t="s">
        <v>31</v>
      </c>
      <c r="Q5" s="63" t="s">
        <v>28</v>
      </c>
    </row>
    <row r="6" spans="1:17" ht="18" customHeight="1" x14ac:dyDescent="0.3">
      <c r="A6" s="53" t="s">
        <v>45</v>
      </c>
      <c r="B6" s="54" t="s">
        <v>46</v>
      </c>
      <c r="C6" s="53" t="s">
        <v>47</v>
      </c>
      <c r="D6" s="61">
        <v>0.92400000000000004</v>
      </c>
      <c r="E6" s="57">
        <v>0.68899999999999995</v>
      </c>
      <c r="F6" s="61">
        <v>0.9</v>
      </c>
      <c r="G6" s="59">
        <v>1.431</v>
      </c>
      <c r="H6" s="55">
        <v>1.206</v>
      </c>
      <c r="I6" s="61">
        <v>0.93500000000000005</v>
      </c>
      <c r="J6" s="56">
        <v>0.77700000000000002</v>
      </c>
      <c r="K6" s="56">
        <v>0.76400000000000001</v>
      </c>
      <c r="L6" s="61">
        <v>0.94899999999999995</v>
      </c>
      <c r="M6" s="58">
        <v>0.97699999999999998</v>
      </c>
      <c r="N6" s="59">
        <v>1.4259999999999999</v>
      </c>
      <c r="O6" s="58">
        <v>1.022</v>
      </c>
      <c r="P6" s="62" t="s">
        <v>30</v>
      </c>
      <c r="Q6" s="63" t="s">
        <v>28</v>
      </c>
    </row>
    <row r="7" spans="1:17" ht="18" customHeight="1" x14ac:dyDescent="0.3">
      <c r="A7" s="64" t="s">
        <v>48</v>
      </c>
      <c r="B7" s="65" t="s">
        <v>49</v>
      </c>
      <c r="C7" s="64" t="s">
        <v>50</v>
      </c>
      <c r="D7" s="56">
        <v>0.82799999999999996</v>
      </c>
      <c r="E7" s="61">
        <v>0.89</v>
      </c>
      <c r="F7" s="56">
        <v>0.80100000000000005</v>
      </c>
      <c r="G7" s="60">
        <v>1.0740000000000001</v>
      </c>
      <c r="H7" s="60">
        <v>1.133</v>
      </c>
      <c r="I7" s="60">
        <v>1.1180000000000001</v>
      </c>
      <c r="J7" s="66">
        <v>1.04</v>
      </c>
      <c r="K7" s="66">
        <v>0.98299999999999998</v>
      </c>
      <c r="L7" s="66">
        <v>0.99099999999999999</v>
      </c>
      <c r="M7" s="66">
        <v>0.97</v>
      </c>
      <c r="N7" s="66">
        <v>0.95899999999999996</v>
      </c>
      <c r="O7" s="55">
        <v>1.214</v>
      </c>
      <c r="P7" s="62" t="s">
        <v>94</v>
      </c>
      <c r="Q7" s="63" t="s">
        <v>29</v>
      </c>
    </row>
    <row r="8" spans="1:17" ht="18" customHeight="1" x14ac:dyDescent="0.3">
      <c r="A8" s="53" t="s">
        <v>52</v>
      </c>
      <c r="B8" s="54" t="s">
        <v>53</v>
      </c>
      <c r="C8" s="53" t="s">
        <v>50</v>
      </c>
      <c r="D8" s="60">
        <v>1.0760000000000001</v>
      </c>
      <c r="E8" s="56">
        <v>0.78700000000000003</v>
      </c>
      <c r="F8" s="57">
        <v>0.69399999999999995</v>
      </c>
      <c r="G8" s="55">
        <v>1.228</v>
      </c>
      <c r="H8" s="61">
        <v>0.94899999999999995</v>
      </c>
      <c r="I8" s="58">
        <v>1.0249999999999999</v>
      </c>
      <c r="J8" s="61">
        <v>0.93899999999999995</v>
      </c>
      <c r="K8" s="61">
        <v>0.85199999999999998</v>
      </c>
      <c r="L8" s="60">
        <v>1.137</v>
      </c>
      <c r="M8" s="58">
        <v>0.96399999999999997</v>
      </c>
      <c r="N8" s="61">
        <v>0.90900000000000003</v>
      </c>
      <c r="O8" s="59">
        <v>1.4410000000000001</v>
      </c>
      <c r="P8" s="62" t="s">
        <v>94</v>
      </c>
      <c r="Q8" s="63" t="s">
        <v>29</v>
      </c>
    </row>
    <row r="9" spans="1:17" ht="18" customHeight="1" x14ac:dyDescent="0.3">
      <c r="A9" s="64" t="s">
        <v>54</v>
      </c>
      <c r="B9" s="65" t="s">
        <v>55</v>
      </c>
      <c r="C9" s="64" t="s">
        <v>50</v>
      </c>
      <c r="D9" s="66">
        <v>0.999</v>
      </c>
      <c r="E9" s="57">
        <v>0.68899999999999995</v>
      </c>
      <c r="F9" s="56">
        <v>0.81699999999999995</v>
      </c>
      <c r="G9" s="55">
        <v>1.2969999999999999</v>
      </c>
      <c r="H9" s="55">
        <v>1.2410000000000001</v>
      </c>
      <c r="I9" s="59">
        <v>1.425</v>
      </c>
      <c r="J9" s="61">
        <v>0.91</v>
      </c>
      <c r="K9" s="66">
        <v>0.97199999999999998</v>
      </c>
      <c r="L9" s="66">
        <v>0.97399999999999998</v>
      </c>
      <c r="M9" s="57">
        <v>0.59099999999999997</v>
      </c>
      <c r="N9" s="60">
        <v>1.119</v>
      </c>
      <c r="O9" s="66">
        <v>0.96799999999999997</v>
      </c>
      <c r="P9" s="62" t="s">
        <v>32</v>
      </c>
      <c r="Q9" s="63" t="s">
        <v>36</v>
      </c>
    </row>
    <row r="10" spans="1:17" ht="18" customHeight="1" x14ac:dyDescent="0.3">
      <c r="A10" s="53" t="s">
        <v>56</v>
      </c>
      <c r="B10" s="54" t="s">
        <v>57</v>
      </c>
      <c r="C10" s="53" t="s">
        <v>40</v>
      </c>
      <c r="D10" s="61">
        <v>0.874</v>
      </c>
      <c r="E10" s="61">
        <v>0.93200000000000005</v>
      </c>
      <c r="F10" s="61">
        <v>0.92800000000000005</v>
      </c>
      <c r="G10" s="58">
        <v>1.0229999999999999</v>
      </c>
      <c r="H10" s="61">
        <v>0.874</v>
      </c>
      <c r="I10" s="55">
        <v>1.179</v>
      </c>
      <c r="J10" s="57">
        <v>0.67700000000000005</v>
      </c>
      <c r="K10" s="55">
        <v>1.2150000000000001</v>
      </c>
      <c r="L10" s="60">
        <v>1.131</v>
      </c>
      <c r="M10" s="58">
        <v>1</v>
      </c>
      <c r="N10" s="61">
        <v>0.88100000000000001</v>
      </c>
      <c r="O10" s="55">
        <v>1.2869999999999999</v>
      </c>
      <c r="P10" s="62" t="s">
        <v>94</v>
      </c>
      <c r="Q10" s="63" t="s">
        <v>33</v>
      </c>
    </row>
    <row r="11" spans="1:17" ht="18" customHeight="1" x14ac:dyDescent="0.3">
      <c r="A11" s="64" t="s">
        <v>58</v>
      </c>
      <c r="B11" s="65" t="s">
        <v>59</v>
      </c>
      <c r="C11" s="64" t="s">
        <v>44</v>
      </c>
      <c r="D11" s="66">
        <v>1.004</v>
      </c>
      <c r="E11" s="57">
        <v>0.66600000000000004</v>
      </c>
      <c r="F11" s="66">
        <v>0.98699999999999999</v>
      </c>
      <c r="G11" s="55">
        <v>1.2849999999999999</v>
      </c>
      <c r="H11" s="59">
        <v>1.3380000000000001</v>
      </c>
      <c r="I11" s="60">
        <v>1.1160000000000001</v>
      </c>
      <c r="J11" s="66">
        <v>0.97199999999999998</v>
      </c>
      <c r="K11" s="61">
        <v>0.90700000000000003</v>
      </c>
      <c r="L11" s="61">
        <v>0.94499999999999995</v>
      </c>
      <c r="M11" s="57">
        <v>0.67800000000000005</v>
      </c>
      <c r="N11" s="66">
        <v>0.97399999999999998</v>
      </c>
      <c r="O11" s="60">
        <v>1.129</v>
      </c>
      <c r="P11" s="62" t="s">
        <v>31</v>
      </c>
      <c r="Q11" s="63" t="s">
        <v>28</v>
      </c>
    </row>
    <row r="12" spans="1:17" ht="18" customHeight="1" x14ac:dyDescent="0.3">
      <c r="A12" s="53" t="s">
        <v>60</v>
      </c>
      <c r="B12" s="54" t="s">
        <v>61</v>
      </c>
      <c r="C12" s="53" t="s">
        <v>62</v>
      </c>
      <c r="D12" s="56">
        <v>0.85</v>
      </c>
      <c r="E12" s="56">
        <v>0.82299999999999995</v>
      </c>
      <c r="F12" s="56">
        <v>0.81399999999999995</v>
      </c>
      <c r="G12" s="60">
        <v>1.1140000000000001</v>
      </c>
      <c r="H12" s="55">
        <v>1.1779999999999999</v>
      </c>
      <c r="I12" s="60">
        <v>1.1279999999999999</v>
      </c>
      <c r="J12" s="58">
        <v>0.97499999999999998</v>
      </c>
      <c r="K12" s="58">
        <v>1.0309999999999999</v>
      </c>
      <c r="L12" s="56">
        <v>0.78800000000000003</v>
      </c>
      <c r="M12" s="56">
        <v>0.74099999999999999</v>
      </c>
      <c r="N12" s="59">
        <v>1.4079999999999999</v>
      </c>
      <c r="O12" s="55">
        <v>1.1499999999999999</v>
      </c>
      <c r="P12" s="62" t="s">
        <v>37</v>
      </c>
      <c r="Q12" s="63" t="s">
        <v>36</v>
      </c>
    </row>
    <row r="13" spans="1:17" ht="18" customHeight="1" x14ac:dyDescent="0.3">
      <c r="A13" s="64" t="s">
        <v>64</v>
      </c>
      <c r="B13" s="65" t="s">
        <v>65</v>
      </c>
      <c r="C13" s="64" t="s">
        <v>50</v>
      </c>
      <c r="D13" s="56">
        <v>0.82699999999999996</v>
      </c>
      <c r="E13" s="56">
        <v>0.70099999999999996</v>
      </c>
      <c r="F13" s="66">
        <v>1.0129999999999999</v>
      </c>
      <c r="G13" s="66">
        <v>1.038</v>
      </c>
      <c r="H13" s="66">
        <v>0.95899999999999996</v>
      </c>
      <c r="I13" s="55">
        <v>1.2549999999999999</v>
      </c>
      <c r="J13" s="55">
        <v>1.2689999999999999</v>
      </c>
      <c r="K13" s="60">
        <v>1.123</v>
      </c>
      <c r="L13" s="66">
        <v>1.0289999999999999</v>
      </c>
      <c r="M13" s="56">
        <v>0.84</v>
      </c>
      <c r="N13" s="66">
        <v>0.96799999999999997</v>
      </c>
      <c r="O13" s="66">
        <v>0.97899999999999998</v>
      </c>
      <c r="P13" s="62" t="s">
        <v>33</v>
      </c>
      <c r="Q13" s="63" t="s">
        <v>28</v>
      </c>
    </row>
    <row r="14" spans="1:17" ht="18" customHeight="1" x14ac:dyDescent="0.3">
      <c r="A14" s="53" t="s">
        <v>66</v>
      </c>
      <c r="B14" s="54" t="s">
        <v>67</v>
      </c>
      <c r="C14" s="53" t="s">
        <v>50</v>
      </c>
      <c r="D14" s="57">
        <v>0.64300000000000002</v>
      </c>
      <c r="E14" s="57">
        <v>0.65400000000000003</v>
      </c>
      <c r="F14" s="56">
        <v>0.76400000000000001</v>
      </c>
      <c r="G14" s="59">
        <v>1.474</v>
      </c>
      <c r="H14" s="59">
        <v>1.3280000000000001</v>
      </c>
      <c r="I14" s="55">
        <v>1.2070000000000001</v>
      </c>
      <c r="J14" s="56">
        <v>0.82499999999999996</v>
      </c>
      <c r="K14" s="61">
        <v>0.9</v>
      </c>
      <c r="L14" s="60">
        <v>1.0509999999999999</v>
      </c>
      <c r="M14" s="56">
        <v>0.81399999999999995</v>
      </c>
      <c r="N14" s="60">
        <v>1.0580000000000001</v>
      </c>
      <c r="O14" s="55">
        <v>1.282</v>
      </c>
      <c r="P14" s="62" t="s">
        <v>30</v>
      </c>
      <c r="Q14" s="63" t="s">
        <v>27</v>
      </c>
    </row>
    <row r="15" spans="1:17" ht="18" customHeight="1" x14ac:dyDescent="0.3">
      <c r="A15" s="64" t="s">
        <v>68</v>
      </c>
      <c r="B15" s="65" t="s">
        <v>69</v>
      </c>
      <c r="C15" s="64" t="s">
        <v>70</v>
      </c>
      <c r="D15" s="56">
        <v>0.82899999999999996</v>
      </c>
      <c r="E15" s="57">
        <v>0.57999999999999996</v>
      </c>
      <c r="F15" s="61">
        <v>0.92900000000000005</v>
      </c>
      <c r="G15" s="55">
        <v>1.181</v>
      </c>
      <c r="H15" s="66">
        <v>1.0429999999999999</v>
      </c>
      <c r="I15" s="59">
        <v>1.3740000000000001</v>
      </c>
      <c r="J15" s="56">
        <v>0.76</v>
      </c>
      <c r="K15" s="66">
        <v>0.97399999999999998</v>
      </c>
      <c r="L15" s="60">
        <v>1.121</v>
      </c>
      <c r="M15" s="61">
        <v>0.94299999999999995</v>
      </c>
      <c r="N15" s="60">
        <v>1.0629999999999999</v>
      </c>
      <c r="O15" s="55">
        <v>1.2030000000000001</v>
      </c>
      <c r="P15" s="62" t="s">
        <v>32</v>
      </c>
      <c r="Q15" s="63" t="s">
        <v>28</v>
      </c>
    </row>
    <row r="16" spans="1:17" ht="18" customHeight="1" x14ac:dyDescent="0.3">
      <c r="A16" s="53" t="s">
        <v>71</v>
      </c>
      <c r="B16" s="54" t="s">
        <v>72</v>
      </c>
      <c r="C16" s="53" t="s">
        <v>73</v>
      </c>
      <c r="D16" s="56">
        <v>0.74399999999999999</v>
      </c>
      <c r="E16" s="56">
        <v>0.78400000000000003</v>
      </c>
      <c r="F16" s="61">
        <v>0.879</v>
      </c>
      <c r="G16" s="60">
        <v>1.0900000000000001</v>
      </c>
      <c r="H16" s="60">
        <v>1.0920000000000001</v>
      </c>
      <c r="I16" s="59">
        <v>1.4079999999999999</v>
      </c>
      <c r="J16" s="61">
        <v>0.91100000000000003</v>
      </c>
      <c r="K16" s="56">
        <v>0.84099999999999997</v>
      </c>
      <c r="L16" s="61">
        <v>0.85499999999999998</v>
      </c>
      <c r="M16" s="61">
        <v>0.87</v>
      </c>
      <c r="N16" s="59">
        <v>1.395</v>
      </c>
      <c r="O16" s="60">
        <v>1.1299999999999999</v>
      </c>
      <c r="P16" s="62" t="s">
        <v>32</v>
      </c>
      <c r="Q16" s="63" t="s">
        <v>27</v>
      </c>
    </row>
    <row r="17" spans="1:17" ht="18" customHeight="1" x14ac:dyDescent="0.3">
      <c r="A17" s="64" t="s">
        <v>74</v>
      </c>
      <c r="B17" s="65" t="s">
        <v>75</v>
      </c>
      <c r="C17" s="64" t="s">
        <v>76</v>
      </c>
      <c r="D17" s="56">
        <v>0.71699999999999997</v>
      </c>
      <c r="E17" s="56">
        <v>0.82499999999999996</v>
      </c>
      <c r="F17" s="61">
        <v>0.874</v>
      </c>
      <c r="G17" s="60">
        <v>1.0609999999999999</v>
      </c>
      <c r="H17" s="66">
        <v>1.046</v>
      </c>
      <c r="I17" s="59">
        <v>1.4630000000000001</v>
      </c>
      <c r="J17" s="61">
        <v>0.93100000000000005</v>
      </c>
      <c r="K17" s="60">
        <v>1.123</v>
      </c>
      <c r="L17" s="66">
        <v>0.96599999999999997</v>
      </c>
      <c r="M17" s="56">
        <v>0.78800000000000003</v>
      </c>
      <c r="N17" s="56">
        <v>0.80800000000000005</v>
      </c>
      <c r="O17" s="59">
        <v>1.399</v>
      </c>
      <c r="P17" s="62" t="s">
        <v>32</v>
      </c>
      <c r="Q17" s="63" t="s">
        <v>27</v>
      </c>
    </row>
    <row r="18" spans="1:17" ht="18" customHeight="1" x14ac:dyDescent="0.3">
      <c r="A18" s="53" t="s">
        <v>78</v>
      </c>
      <c r="B18" s="54" t="s">
        <v>79</v>
      </c>
      <c r="C18" s="53" t="s">
        <v>76</v>
      </c>
      <c r="D18" s="60">
        <v>1.119</v>
      </c>
      <c r="E18" s="56">
        <v>0.76500000000000001</v>
      </c>
      <c r="F18" s="57">
        <v>0.66700000000000004</v>
      </c>
      <c r="G18" s="59">
        <v>1.405</v>
      </c>
      <c r="H18" s="59">
        <v>1.367</v>
      </c>
      <c r="I18" s="55">
        <v>1.161</v>
      </c>
      <c r="J18" s="56">
        <v>0.78900000000000003</v>
      </c>
      <c r="K18" s="61">
        <v>0.90300000000000002</v>
      </c>
      <c r="L18" s="61">
        <v>0.91900000000000004</v>
      </c>
      <c r="M18" s="60">
        <v>1.1080000000000001</v>
      </c>
      <c r="N18" s="61">
        <v>0.91500000000000004</v>
      </c>
      <c r="O18" s="61">
        <v>0.88100000000000001</v>
      </c>
      <c r="P18" s="62" t="s">
        <v>30</v>
      </c>
      <c r="Q18" s="63" t="s">
        <v>29</v>
      </c>
    </row>
    <row r="19" spans="1:17" ht="18" customHeight="1" x14ac:dyDescent="0.3">
      <c r="A19" s="64" t="s">
        <v>80</v>
      </c>
      <c r="B19" s="65" t="s">
        <v>81</v>
      </c>
      <c r="C19" s="64" t="s">
        <v>62</v>
      </c>
      <c r="D19" s="57">
        <v>0.63600000000000001</v>
      </c>
      <c r="E19" s="56">
        <v>0.79800000000000004</v>
      </c>
      <c r="F19" s="57">
        <v>0.60599999999999998</v>
      </c>
      <c r="G19" s="55">
        <v>1.2949999999999999</v>
      </c>
      <c r="H19" s="55">
        <v>1.1719999999999999</v>
      </c>
      <c r="I19" s="55">
        <v>1.232</v>
      </c>
      <c r="J19" s="55">
        <v>1.1859999999999999</v>
      </c>
      <c r="K19" s="61">
        <v>0.88800000000000001</v>
      </c>
      <c r="L19" s="56">
        <v>0.77200000000000002</v>
      </c>
      <c r="M19" s="57">
        <v>0.69399999999999995</v>
      </c>
      <c r="N19" s="59">
        <v>1.417</v>
      </c>
      <c r="O19" s="59">
        <v>1.304</v>
      </c>
      <c r="P19" s="62" t="s">
        <v>37</v>
      </c>
      <c r="Q19" s="63" t="s">
        <v>29</v>
      </c>
    </row>
    <row r="20" spans="1:17" ht="18" customHeight="1" x14ac:dyDescent="0.3">
      <c r="A20" s="53" t="s">
        <v>82</v>
      </c>
      <c r="B20" s="54" t="s">
        <v>83</v>
      </c>
      <c r="C20" s="53" t="s">
        <v>62</v>
      </c>
      <c r="D20" s="60">
        <v>1.139</v>
      </c>
      <c r="E20" s="56">
        <v>0.78300000000000003</v>
      </c>
      <c r="F20" s="61">
        <v>0.89800000000000002</v>
      </c>
      <c r="G20" s="55">
        <v>1.2869999999999999</v>
      </c>
      <c r="H20" s="58">
        <v>1.0289999999999999</v>
      </c>
      <c r="I20" s="55">
        <v>1.1859999999999999</v>
      </c>
      <c r="J20" s="61">
        <v>0.93400000000000005</v>
      </c>
      <c r="K20" s="61">
        <v>0.92700000000000005</v>
      </c>
      <c r="L20" s="57">
        <v>0.68200000000000005</v>
      </c>
      <c r="M20" s="58">
        <v>0.995</v>
      </c>
      <c r="N20" s="61">
        <v>0.92500000000000004</v>
      </c>
      <c r="O20" s="55">
        <v>1.2150000000000001</v>
      </c>
      <c r="P20" s="62" t="s">
        <v>30</v>
      </c>
      <c r="Q20" s="63" t="s">
        <v>35</v>
      </c>
    </row>
    <row r="21" spans="1:17" ht="18" customHeight="1" x14ac:dyDescent="0.3">
      <c r="A21" s="64" t="s">
        <v>84</v>
      </c>
      <c r="B21" s="65" t="s">
        <v>85</v>
      </c>
      <c r="C21" s="64" t="s">
        <v>50</v>
      </c>
      <c r="D21" s="56">
        <v>0.77500000000000002</v>
      </c>
      <c r="E21" s="61">
        <v>0.92100000000000004</v>
      </c>
      <c r="F21" s="56">
        <v>0.83899999999999997</v>
      </c>
      <c r="G21" s="55">
        <v>1.296</v>
      </c>
      <c r="H21" s="60">
        <v>1.0660000000000001</v>
      </c>
      <c r="I21" s="59">
        <v>1.444</v>
      </c>
      <c r="J21" s="61">
        <v>0.92500000000000004</v>
      </c>
      <c r="K21" s="66">
        <v>0.95799999999999996</v>
      </c>
      <c r="L21" s="60">
        <v>1.054</v>
      </c>
      <c r="M21" s="56">
        <v>0.77100000000000002</v>
      </c>
      <c r="N21" s="60">
        <v>1.05</v>
      </c>
      <c r="O21" s="61">
        <v>0.90200000000000002</v>
      </c>
      <c r="P21" s="62" t="s">
        <v>32</v>
      </c>
      <c r="Q21" s="63" t="s">
        <v>36</v>
      </c>
    </row>
    <row r="22" spans="1:17" ht="18" customHeight="1" x14ac:dyDescent="0.3">
      <c r="A22" s="53" t="s">
        <v>86</v>
      </c>
      <c r="B22" s="54" t="s">
        <v>87</v>
      </c>
      <c r="C22" s="53" t="s">
        <v>70</v>
      </c>
      <c r="D22" s="60">
        <v>1.145</v>
      </c>
      <c r="E22" s="57">
        <v>0.65800000000000003</v>
      </c>
      <c r="F22" s="57">
        <v>0.69599999999999995</v>
      </c>
      <c r="G22" s="60">
        <v>1.083</v>
      </c>
      <c r="H22" s="59">
        <v>1.3979999999999999</v>
      </c>
      <c r="I22" s="55">
        <v>1.165</v>
      </c>
      <c r="J22" s="60">
        <v>1.1299999999999999</v>
      </c>
      <c r="K22" s="58">
        <v>1.0409999999999999</v>
      </c>
      <c r="L22" s="56">
        <v>0.73799999999999999</v>
      </c>
      <c r="M22" s="56">
        <v>0.81699999999999995</v>
      </c>
      <c r="N22" s="55">
        <v>1.196</v>
      </c>
      <c r="O22" s="61">
        <v>0.93400000000000005</v>
      </c>
      <c r="P22" s="62" t="s">
        <v>31</v>
      </c>
      <c r="Q22" s="63" t="s">
        <v>28</v>
      </c>
    </row>
    <row r="23" spans="1:17" ht="18" customHeight="1" x14ac:dyDescent="0.3">
      <c r="A23" s="64" t="s">
        <v>88</v>
      </c>
      <c r="B23" s="65" t="s">
        <v>89</v>
      </c>
      <c r="C23" s="64" t="s">
        <v>44</v>
      </c>
      <c r="D23" s="60">
        <v>1.0840000000000001</v>
      </c>
      <c r="E23" s="61">
        <v>0.86599999999999999</v>
      </c>
      <c r="F23" s="56">
        <v>0.73499999999999999</v>
      </c>
      <c r="G23" s="60">
        <v>1.0589999999999999</v>
      </c>
      <c r="H23" s="59">
        <v>1.502</v>
      </c>
      <c r="I23" s="59">
        <v>1.31</v>
      </c>
      <c r="J23" s="61">
        <v>0.86199999999999999</v>
      </c>
      <c r="K23" s="61">
        <v>0.94899999999999995</v>
      </c>
      <c r="L23" s="61">
        <v>0.88900000000000001</v>
      </c>
      <c r="M23" s="57">
        <v>0.626</v>
      </c>
      <c r="N23" s="60">
        <v>1.1339999999999999</v>
      </c>
      <c r="O23" s="66">
        <v>0.98399999999999999</v>
      </c>
      <c r="P23" s="62" t="s">
        <v>31</v>
      </c>
      <c r="Q23" s="63" t="s">
        <v>36</v>
      </c>
    </row>
    <row r="26" spans="1:17" ht="19.5" customHeight="1" x14ac:dyDescent="0.3">
      <c r="A26" s="67" t="s">
        <v>97</v>
      </c>
      <c r="B26" s="68" t="s">
        <v>98</v>
      </c>
      <c r="C26" s="69" t="s">
        <v>99</v>
      </c>
      <c r="D26" s="62" t="s">
        <v>100</v>
      </c>
      <c r="E26" s="69" t="s">
        <v>101</v>
      </c>
      <c r="F26" s="70" t="s">
        <v>102</v>
      </c>
      <c r="G26" s="69" t="s">
        <v>103</v>
      </c>
      <c r="H26" s="71" t="s">
        <v>104</v>
      </c>
      <c r="I26" s="69" t="s">
        <v>105</v>
      </c>
      <c r="J26" s="72" t="s">
        <v>106</v>
      </c>
      <c r="K26" s="69" t="s">
        <v>107</v>
      </c>
      <c r="L26" s="63" t="s">
        <v>108</v>
      </c>
      <c r="M26" s="69" t="s">
        <v>109</v>
      </c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showGridLines="0" zoomScaleNormal="100" workbookViewId="0">
      <pane xSplit="2" ySplit="3" topLeftCell="C15" activePane="bottomRight" state="frozen"/>
      <selection pane="topRight" activeCell="C1" sqref="C1"/>
      <selection pane="bottomLeft" activeCell="A4" sqref="A4"/>
      <selection pane="bottomRight" sqref="A1:I1"/>
    </sheetView>
  </sheetViews>
  <sheetFormatPr defaultColWidth="8.6640625" defaultRowHeight="14.4" x14ac:dyDescent="0.3"/>
  <cols>
    <col min="1" max="1" width="9" customWidth="1"/>
    <col min="2" max="2" width="22" customWidth="1"/>
    <col min="3" max="3" width="13" customWidth="1"/>
    <col min="4" max="5" width="12" customWidth="1"/>
    <col min="6" max="6" width="14" customWidth="1"/>
    <col min="7" max="7" width="16" customWidth="1"/>
    <col min="8" max="8" width="14" customWidth="1"/>
    <col min="9" max="9" width="12" customWidth="1"/>
  </cols>
  <sheetData>
    <row r="1" spans="1:9" ht="31.5" customHeight="1" x14ac:dyDescent="0.3">
      <c r="A1" s="6" t="s">
        <v>110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3">
      <c r="A2" s="13" t="s">
        <v>111</v>
      </c>
      <c r="B2" s="13"/>
      <c r="C2" s="13"/>
      <c r="D2" s="13"/>
      <c r="E2" s="13"/>
      <c r="F2" s="13"/>
      <c r="G2" s="13"/>
      <c r="H2" s="13"/>
      <c r="I2" s="13"/>
    </row>
    <row r="3" spans="1:9" ht="36" customHeight="1" x14ac:dyDescent="0.3">
      <c r="A3" s="20" t="s">
        <v>8</v>
      </c>
      <c r="B3" s="20" t="s">
        <v>93</v>
      </c>
      <c r="C3" s="20" t="s">
        <v>10</v>
      </c>
      <c r="D3" s="20" t="s">
        <v>112</v>
      </c>
      <c r="E3" s="20" t="s">
        <v>113</v>
      </c>
      <c r="F3" s="20" t="s">
        <v>114</v>
      </c>
      <c r="G3" s="20" t="s">
        <v>115</v>
      </c>
      <c r="H3" s="20" t="s">
        <v>116</v>
      </c>
      <c r="I3" s="20" t="s">
        <v>117</v>
      </c>
    </row>
    <row r="4" spans="1:9" ht="18" customHeight="1" x14ac:dyDescent="0.3">
      <c r="A4" s="73" t="s">
        <v>58</v>
      </c>
      <c r="B4" s="73" t="s">
        <v>59</v>
      </c>
      <c r="C4" s="73" t="s">
        <v>44</v>
      </c>
      <c r="D4" s="40">
        <v>0.80555555555555602</v>
      </c>
      <c r="E4" s="74">
        <v>0.88575658270955004</v>
      </c>
      <c r="F4" s="75">
        <v>678</v>
      </c>
      <c r="G4" s="76">
        <v>18909</v>
      </c>
      <c r="H4" s="33">
        <v>72</v>
      </c>
      <c r="I4" s="33">
        <v>230</v>
      </c>
    </row>
    <row r="5" spans="1:9" ht="18" customHeight="1" x14ac:dyDescent="0.3">
      <c r="A5" s="42" t="s">
        <v>42</v>
      </c>
      <c r="B5" s="42" t="s">
        <v>43</v>
      </c>
      <c r="C5" s="42" t="s">
        <v>44</v>
      </c>
      <c r="D5" s="40">
        <v>0.77777777777777801</v>
      </c>
      <c r="E5" s="41">
        <v>0.867288557985326</v>
      </c>
      <c r="F5" s="75">
        <v>767</v>
      </c>
      <c r="G5" s="76">
        <v>24651</v>
      </c>
      <c r="H5" s="33">
        <v>69</v>
      </c>
      <c r="I5" s="33">
        <v>225</v>
      </c>
    </row>
    <row r="6" spans="1:9" ht="18" customHeight="1" x14ac:dyDescent="0.3">
      <c r="A6" s="73" t="s">
        <v>64</v>
      </c>
      <c r="B6" s="73" t="s">
        <v>65</v>
      </c>
      <c r="C6" s="73" t="s">
        <v>50</v>
      </c>
      <c r="D6" s="40">
        <v>0.77777777777777801</v>
      </c>
      <c r="E6" s="74">
        <v>0.89201041282587501</v>
      </c>
      <c r="F6" s="77">
        <v>591</v>
      </c>
      <c r="G6" s="76">
        <v>17352</v>
      </c>
      <c r="H6" s="33">
        <v>61</v>
      </c>
      <c r="I6" s="33">
        <v>209</v>
      </c>
    </row>
    <row r="7" spans="1:9" ht="18" customHeight="1" x14ac:dyDescent="0.3">
      <c r="A7" s="42" t="s">
        <v>78</v>
      </c>
      <c r="B7" s="42" t="s">
        <v>79</v>
      </c>
      <c r="C7" s="42" t="s">
        <v>76</v>
      </c>
      <c r="D7" s="40">
        <v>0.77777777777777801</v>
      </c>
      <c r="E7" s="41">
        <v>0.88207920854567701</v>
      </c>
      <c r="F7" s="75">
        <v>668</v>
      </c>
      <c r="G7" s="76">
        <v>16069</v>
      </c>
      <c r="H7" s="33">
        <v>76</v>
      </c>
      <c r="I7" s="33">
        <v>240</v>
      </c>
    </row>
    <row r="8" spans="1:9" ht="18" customHeight="1" x14ac:dyDescent="0.3">
      <c r="A8" s="73" t="s">
        <v>88</v>
      </c>
      <c r="B8" s="73" t="s">
        <v>89</v>
      </c>
      <c r="C8" s="73" t="s">
        <v>44</v>
      </c>
      <c r="D8" s="40">
        <v>0.77777777777777801</v>
      </c>
      <c r="E8" s="74">
        <v>0.87382327586627695</v>
      </c>
      <c r="F8" s="75">
        <v>694</v>
      </c>
      <c r="G8" s="76">
        <v>18950</v>
      </c>
      <c r="H8" s="33">
        <v>80</v>
      </c>
      <c r="I8" s="33">
        <v>236</v>
      </c>
    </row>
    <row r="9" spans="1:9" ht="18" customHeight="1" x14ac:dyDescent="0.3">
      <c r="A9" s="42" t="s">
        <v>71</v>
      </c>
      <c r="B9" s="42" t="s">
        <v>72</v>
      </c>
      <c r="C9" s="42" t="s">
        <v>73</v>
      </c>
      <c r="D9" s="40">
        <v>0.77777777777777801</v>
      </c>
      <c r="E9" s="41">
        <v>0.87174149105862897</v>
      </c>
      <c r="F9" s="75">
        <v>675</v>
      </c>
      <c r="G9" s="76">
        <v>16594</v>
      </c>
      <c r="H9" s="33">
        <v>77</v>
      </c>
      <c r="I9" s="33">
        <v>224</v>
      </c>
    </row>
    <row r="10" spans="1:9" ht="18" customHeight="1" x14ac:dyDescent="0.3">
      <c r="A10" s="73" t="s">
        <v>48</v>
      </c>
      <c r="B10" s="73" t="s">
        <v>49</v>
      </c>
      <c r="C10" s="73" t="s">
        <v>50</v>
      </c>
      <c r="D10" s="48">
        <v>0.72222222222222199</v>
      </c>
      <c r="E10" s="74">
        <v>0.89393826163892298</v>
      </c>
      <c r="F10" s="77">
        <v>583</v>
      </c>
      <c r="G10" s="76">
        <v>17344</v>
      </c>
      <c r="H10" s="33">
        <v>71</v>
      </c>
      <c r="I10" s="33">
        <v>228</v>
      </c>
    </row>
    <row r="11" spans="1:9" ht="18" customHeight="1" x14ac:dyDescent="0.3">
      <c r="A11" s="42" t="s">
        <v>84</v>
      </c>
      <c r="B11" s="42" t="s">
        <v>85</v>
      </c>
      <c r="C11" s="42" t="s">
        <v>50</v>
      </c>
      <c r="D11" s="48">
        <v>0.72222222222222199</v>
      </c>
      <c r="E11" s="41">
        <v>0.88705263031293402</v>
      </c>
      <c r="F11" s="75">
        <v>650</v>
      </c>
      <c r="G11" s="76">
        <v>20367</v>
      </c>
      <c r="H11" s="33">
        <v>73</v>
      </c>
      <c r="I11" s="33">
        <v>236</v>
      </c>
    </row>
    <row r="12" spans="1:9" ht="18" customHeight="1" x14ac:dyDescent="0.3">
      <c r="A12" s="73" t="s">
        <v>86</v>
      </c>
      <c r="B12" s="73" t="s">
        <v>87</v>
      </c>
      <c r="C12" s="73" t="s">
        <v>70</v>
      </c>
      <c r="D12" s="48">
        <v>0.72222222222222199</v>
      </c>
      <c r="E12" s="74">
        <v>0.89587262087491004</v>
      </c>
      <c r="F12" s="77">
        <v>551</v>
      </c>
      <c r="G12" s="76">
        <v>16331</v>
      </c>
      <c r="H12" s="33">
        <v>69</v>
      </c>
      <c r="I12" s="33">
        <v>220</v>
      </c>
    </row>
    <row r="13" spans="1:9" ht="18" customHeight="1" x14ac:dyDescent="0.3">
      <c r="A13" s="42" t="s">
        <v>60</v>
      </c>
      <c r="B13" s="42" t="s">
        <v>61</v>
      </c>
      <c r="C13" s="42" t="s">
        <v>62</v>
      </c>
      <c r="D13" s="48">
        <v>0.72222222222222199</v>
      </c>
      <c r="E13" s="41">
        <v>0.87741081946560096</v>
      </c>
      <c r="F13" s="75">
        <v>691</v>
      </c>
      <c r="G13" s="76">
        <v>19175</v>
      </c>
      <c r="H13" s="33">
        <v>69</v>
      </c>
      <c r="I13" s="33">
        <v>220</v>
      </c>
    </row>
    <row r="14" spans="1:9" ht="18" customHeight="1" x14ac:dyDescent="0.3">
      <c r="A14" s="73" t="s">
        <v>54</v>
      </c>
      <c r="B14" s="73" t="s">
        <v>55</v>
      </c>
      <c r="C14" s="73" t="s">
        <v>50</v>
      </c>
      <c r="D14" s="48">
        <v>0.72222222222222199</v>
      </c>
      <c r="E14" s="74">
        <v>0.90810461613897198</v>
      </c>
      <c r="F14" s="77">
        <v>483</v>
      </c>
      <c r="G14" s="76">
        <v>16382</v>
      </c>
      <c r="H14" s="33">
        <v>81</v>
      </c>
      <c r="I14" s="33">
        <v>242</v>
      </c>
    </row>
    <row r="15" spans="1:9" ht="18" customHeight="1" x14ac:dyDescent="0.3">
      <c r="A15" s="42" t="s">
        <v>52</v>
      </c>
      <c r="B15" s="42" t="s">
        <v>53</v>
      </c>
      <c r="C15" s="42" t="s">
        <v>50</v>
      </c>
      <c r="D15" s="48">
        <v>0.72222222222222199</v>
      </c>
      <c r="E15" s="41">
        <v>0.87756744019272304</v>
      </c>
      <c r="F15" s="75">
        <v>692</v>
      </c>
      <c r="G15" s="76">
        <v>21260</v>
      </c>
      <c r="H15" s="33">
        <v>75</v>
      </c>
      <c r="I15" s="33">
        <v>233</v>
      </c>
    </row>
    <row r="16" spans="1:9" ht="18" customHeight="1" x14ac:dyDescent="0.3">
      <c r="A16" s="73" t="s">
        <v>80</v>
      </c>
      <c r="B16" s="73" t="s">
        <v>81</v>
      </c>
      <c r="C16" s="73" t="s">
        <v>62</v>
      </c>
      <c r="D16" s="48">
        <v>0.72222222222222199</v>
      </c>
      <c r="E16" s="74">
        <v>0.88897940771814499</v>
      </c>
      <c r="F16" s="75">
        <v>606</v>
      </c>
      <c r="G16" s="76">
        <v>16564</v>
      </c>
      <c r="H16" s="33">
        <v>86</v>
      </c>
      <c r="I16" s="33">
        <v>230</v>
      </c>
    </row>
    <row r="17" spans="1:9" ht="18" customHeight="1" x14ac:dyDescent="0.3">
      <c r="A17" s="42" t="s">
        <v>66</v>
      </c>
      <c r="B17" s="42" t="s">
        <v>67</v>
      </c>
      <c r="C17" s="42" t="s">
        <v>50</v>
      </c>
      <c r="D17" s="48">
        <v>0.69444444444444398</v>
      </c>
      <c r="E17" s="41">
        <v>0.88683763783006997</v>
      </c>
      <c r="F17" s="77">
        <v>596</v>
      </c>
      <c r="G17" s="76">
        <v>17201</v>
      </c>
      <c r="H17" s="33">
        <v>85</v>
      </c>
      <c r="I17" s="33">
        <v>239</v>
      </c>
    </row>
    <row r="18" spans="1:9" ht="18" customHeight="1" x14ac:dyDescent="0.3">
      <c r="A18" s="73" t="s">
        <v>74</v>
      </c>
      <c r="B18" s="73" t="s">
        <v>75</v>
      </c>
      <c r="C18" s="73" t="s">
        <v>76</v>
      </c>
      <c r="D18" s="48">
        <v>0.66666666666666696</v>
      </c>
      <c r="E18" s="74">
        <v>0.91572290545336599</v>
      </c>
      <c r="F18" s="77">
        <v>436</v>
      </c>
      <c r="G18" s="78">
        <v>12281</v>
      </c>
      <c r="H18" s="33">
        <v>75</v>
      </c>
      <c r="I18" s="33">
        <v>226</v>
      </c>
    </row>
    <row r="19" spans="1:9" ht="18" customHeight="1" x14ac:dyDescent="0.3">
      <c r="A19" s="42" t="s">
        <v>38</v>
      </c>
      <c r="B19" s="42" t="s">
        <v>39</v>
      </c>
      <c r="C19" s="42" t="s">
        <v>40</v>
      </c>
      <c r="D19" s="29">
        <v>0.63888888888888895</v>
      </c>
      <c r="E19" s="41">
        <v>0.89131684174109105</v>
      </c>
      <c r="F19" s="77">
        <v>554</v>
      </c>
      <c r="G19" s="76">
        <v>17466</v>
      </c>
      <c r="H19" s="33">
        <v>64</v>
      </c>
      <c r="I19" s="33">
        <v>209</v>
      </c>
    </row>
    <row r="20" spans="1:9" ht="18" customHeight="1" x14ac:dyDescent="0.3">
      <c r="A20" s="73" t="s">
        <v>45</v>
      </c>
      <c r="B20" s="73" t="s">
        <v>46</v>
      </c>
      <c r="C20" s="73" t="s">
        <v>47</v>
      </c>
      <c r="D20" s="29">
        <v>0.63888888888888895</v>
      </c>
      <c r="E20" s="74">
        <v>0.92006845058145703</v>
      </c>
      <c r="F20" s="77">
        <v>459</v>
      </c>
      <c r="G20" s="78">
        <v>14675</v>
      </c>
      <c r="H20" s="33">
        <v>75</v>
      </c>
      <c r="I20" s="33">
        <v>225</v>
      </c>
    </row>
    <row r="21" spans="1:9" ht="18" customHeight="1" x14ac:dyDescent="0.3">
      <c r="A21" s="42" t="s">
        <v>56</v>
      </c>
      <c r="B21" s="42" t="s">
        <v>57</v>
      </c>
      <c r="C21" s="42" t="s">
        <v>40</v>
      </c>
      <c r="D21" s="29">
        <v>0.63888888888888895</v>
      </c>
      <c r="E21" s="41">
        <v>0.90442345719209505</v>
      </c>
      <c r="F21" s="77">
        <v>510</v>
      </c>
      <c r="G21" s="78">
        <v>14719</v>
      </c>
      <c r="H21" s="33">
        <v>59</v>
      </c>
      <c r="I21" s="33">
        <v>207</v>
      </c>
    </row>
    <row r="22" spans="1:9" ht="18" customHeight="1" x14ac:dyDescent="0.3">
      <c r="A22" s="73" t="s">
        <v>68</v>
      </c>
      <c r="B22" s="73" t="s">
        <v>69</v>
      </c>
      <c r="C22" s="73" t="s">
        <v>70</v>
      </c>
      <c r="D22" s="29">
        <v>0.63888888888888895</v>
      </c>
      <c r="E22" s="74">
        <v>0.92548365429067803</v>
      </c>
      <c r="F22" s="77">
        <v>368</v>
      </c>
      <c r="G22" s="78">
        <v>12021</v>
      </c>
      <c r="H22" s="33">
        <v>74</v>
      </c>
      <c r="I22" s="33">
        <v>224</v>
      </c>
    </row>
    <row r="23" spans="1:9" ht="18" customHeight="1" x14ac:dyDescent="0.3">
      <c r="A23" s="42" t="s">
        <v>82</v>
      </c>
      <c r="B23" s="42" t="s">
        <v>83</v>
      </c>
      <c r="C23" s="42" t="s">
        <v>62</v>
      </c>
      <c r="D23" s="29">
        <v>0.61111111111111105</v>
      </c>
      <c r="E23" s="41">
        <v>0.91247663420554004</v>
      </c>
      <c r="F23" s="77">
        <v>510</v>
      </c>
      <c r="G23" s="76">
        <v>15881</v>
      </c>
      <c r="H23" s="33">
        <v>69</v>
      </c>
      <c r="I23" s="33">
        <v>226</v>
      </c>
    </row>
    <row r="24" spans="1:9" ht="21.75" customHeight="1" x14ac:dyDescent="0.3">
      <c r="A24" s="79" t="s">
        <v>90</v>
      </c>
      <c r="F24" s="80">
        <f>SUM(F4:F23)</f>
        <v>11762</v>
      </c>
      <c r="G24" s="81">
        <f>SUM(G4:G23)</f>
        <v>344192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6" customWidth="1"/>
    <col min="2" max="2" width="8" customWidth="1"/>
    <col min="3" max="6" width="14" customWidth="1"/>
    <col min="7" max="7" width="12" customWidth="1"/>
    <col min="8" max="8" width="14" customWidth="1"/>
    <col min="9" max="9" width="12" customWidth="1"/>
  </cols>
  <sheetData>
    <row r="1" spans="1:9" ht="31.5" customHeight="1" x14ac:dyDescent="0.3">
      <c r="A1" s="5" t="s">
        <v>118</v>
      </c>
      <c r="B1" s="5"/>
      <c r="C1" s="5"/>
      <c r="D1" s="5"/>
      <c r="E1" s="5"/>
      <c r="F1" s="5"/>
      <c r="G1" s="5"/>
      <c r="H1" s="5"/>
      <c r="I1" s="5"/>
    </row>
    <row r="3" spans="1:9" ht="31.5" customHeight="1" x14ac:dyDescent="0.3">
      <c r="A3" s="17" t="s">
        <v>10</v>
      </c>
      <c r="B3" s="17" t="s">
        <v>119</v>
      </c>
      <c r="C3" s="17" t="s">
        <v>120</v>
      </c>
      <c r="D3" s="17" t="s">
        <v>121</v>
      </c>
      <c r="E3" s="17" t="s">
        <v>122</v>
      </c>
      <c r="F3" s="17" t="s">
        <v>123</v>
      </c>
      <c r="G3" s="17" t="s">
        <v>124</v>
      </c>
      <c r="H3" s="17" t="s">
        <v>125</v>
      </c>
      <c r="I3" s="17" t="s">
        <v>126</v>
      </c>
    </row>
    <row r="4" spans="1:9" ht="21.75" customHeight="1" x14ac:dyDescent="0.3">
      <c r="A4" s="82" t="s">
        <v>50</v>
      </c>
      <c r="B4" s="83">
        <v>6</v>
      </c>
      <c r="C4" s="83">
        <v>11657</v>
      </c>
      <c r="D4" s="83">
        <v>10839</v>
      </c>
      <c r="E4" s="83">
        <v>11416</v>
      </c>
      <c r="F4" s="84">
        <v>10980</v>
      </c>
      <c r="G4" s="85">
        <v>-3.81920112123336E-2</v>
      </c>
      <c r="H4" s="86">
        <v>0.72685185185185197</v>
      </c>
      <c r="I4" s="86">
        <v>0.890918499823249</v>
      </c>
    </row>
    <row r="5" spans="1:9" ht="21.75" customHeight="1" x14ac:dyDescent="0.3">
      <c r="A5" s="87" t="s">
        <v>44</v>
      </c>
      <c r="B5" s="88">
        <v>3</v>
      </c>
      <c r="C5" s="88">
        <v>5596</v>
      </c>
      <c r="D5" s="88">
        <v>5489</v>
      </c>
      <c r="E5" s="88">
        <v>5798</v>
      </c>
      <c r="F5" s="89">
        <v>5795</v>
      </c>
      <c r="G5" s="85">
        <v>-5.1741979993101105E-4</v>
      </c>
      <c r="H5" s="86">
        <v>0.78703703703703698</v>
      </c>
      <c r="I5" s="86">
        <v>0.87562280552038396</v>
      </c>
    </row>
    <row r="6" spans="1:9" ht="21.75" customHeight="1" x14ac:dyDescent="0.3">
      <c r="A6" s="90" t="s">
        <v>62</v>
      </c>
      <c r="B6" s="83">
        <v>3</v>
      </c>
      <c r="C6" s="83">
        <v>5515</v>
      </c>
      <c r="D6" s="83">
        <v>5286</v>
      </c>
      <c r="E6" s="83">
        <v>5495</v>
      </c>
      <c r="F6" s="84">
        <v>5379</v>
      </c>
      <c r="G6" s="85">
        <v>-2.1110100090991801E-2</v>
      </c>
      <c r="H6" s="86">
        <v>0.68518518518518501</v>
      </c>
      <c r="I6" s="86">
        <v>0.89295562046309496</v>
      </c>
    </row>
    <row r="7" spans="1:9" ht="21.75" customHeight="1" x14ac:dyDescent="0.3">
      <c r="A7" s="91" t="s">
        <v>76</v>
      </c>
      <c r="B7" s="88">
        <v>2</v>
      </c>
      <c r="C7" s="88">
        <v>3592</v>
      </c>
      <c r="D7" s="88">
        <v>3532</v>
      </c>
      <c r="E7" s="88">
        <v>4215</v>
      </c>
      <c r="F7" s="89">
        <v>4369</v>
      </c>
      <c r="G7" s="92">
        <v>3.6536180308422303E-2</v>
      </c>
      <c r="H7" s="86">
        <v>0.72222222222222199</v>
      </c>
      <c r="I7" s="86">
        <v>0.89890105699952205</v>
      </c>
    </row>
    <row r="8" spans="1:9" ht="21.75" customHeight="1" x14ac:dyDescent="0.3">
      <c r="A8" s="79" t="s">
        <v>70</v>
      </c>
      <c r="B8" s="83">
        <v>2</v>
      </c>
      <c r="C8" s="83">
        <v>3414</v>
      </c>
      <c r="D8" s="83">
        <v>3728</v>
      </c>
      <c r="E8" s="83">
        <v>3705</v>
      </c>
      <c r="F8" s="84">
        <v>3957</v>
      </c>
      <c r="G8" s="92">
        <v>6.8016194331983804E-2</v>
      </c>
      <c r="H8" s="86">
        <v>0.68055555555555602</v>
      </c>
      <c r="I8" s="86">
        <v>0.91067813758279403</v>
      </c>
    </row>
    <row r="9" spans="1:9" ht="21.75" customHeight="1" x14ac:dyDescent="0.3">
      <c r="A9" s="93" t="s">
        <v>40</v>
      </c>
      <c r="B9" s="88">
        <v>2</v>
      </c>
      <c r="C9" s="88">
        <v>3322</v>
      </c>
      <c r="D9" s="88">
        <v>3660</v>
      </c>
      <c r="E9" s="88">
        <v>3569</v>
      </c>
      <c r="F9" s="89">
        <v>3827</v>
      </c>
      <c r="G9" s="92">
        <v>7.2289156626505993E-2</v>
      </c>
      <c r="H9" s="86">
        <v>0.63888888888888895</v>
      </c>
      <c r="I9" s="86">
        <v>0.89787014946659305</v>
      </c>
    </row>
    <row r="10" spans="1:9" ht="21.75" customHeight="1" x14ac:dyDescent="0.3">
      <c r="A10" s="94" t="s">
        <v>73</v>
      </c>
      <c r="B10" s="83">
        <v>1</v>
      </c>
      <c r="C10" s="83">
        <v>1646</v>
      </c>
      <c r="D10" s="83">
        <v>1699</v>
      </c>
      <c r="E10" s="83">
        <v>1963</v>
      </c>
      <c r="F10" s="84">
        <v>2079</v>
      </c>
      <c r="G10" s="92">
        <v>5.9093224656138602E-2</v>
      </c>
      <c r="H10" s="86">
        <v>0.77777777777777801</v>
      </c>
      <c r="I10" s="86">
        <v>0.87174149105862897</v>
      </c>
    </row>
    <row r="11" spans="1:9" ht="21.75" customHeight="1" x14ac:dyDescent="0.3">
      <c r="A11" s="95" t="s">
        <v>47</v>
      </c>
      <c r="B11" s="88">
        <v>1</v>
      </c>
      <c r="C11" s="88">
        <v>1658</v>
      </c>
      <c r="D11" s="88">
        <v>1923</v>
      </c>
      <c r="E11" s="88">
        <v>1821</v>
      </c>
      <c r="F11" s="89">
        <v>2013</v>
      </c>
      <c r="G11" s="92">
        <v>0.10543657331136699</v>
      </c>
      <c r="H11" s="86">
        <v>0.63888888888888895</v>
      </c>
      <c r="I11" s="86">
        <v>0.92006845058145703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"/>
  <sheetViews>
    <sheetView showGridLines="0" topLeftCell="A6" zoomScaleNormal="100" workbookViewId="0">
      <selection sqref="A1:XFD1048576"/>
    </sheetView>
  </sheetViews>
  <sheetFormatPr defaultColWidth="8.6640625" defaultRowHeight="14.4" x14ac:dyDescent="0.3"/>
  <cols>
    <col min="1" max="1" width="50.109375" bestFit="1" customWidth="1"/>
    <col min="2" max="4" width="4.77734375" bestFit="1" customWidth="1"/>
    <col min="5" max="5" width="8.109375" bestFit="1" customWidth="1"/>
    <col min="8" max="8" width="32.5546875" bestFit="1" customWidth="1"/>
    <col min="9" max="9" width="9.21875" bestFit="1" customWidth="1"/>
    <col min="14" max="14" width="39.44140625" bestFit="1" customWidth="1"/>
    <col min="15" max="15" width="5.77734375" bestFit="1" customWidth="1"/>
    <col min="17" max="17" width="34.5546875" bestFit="1" customWidth="1"/>
    <col min="18" max="18" width="9.21875" bestFit="1" customWidth="1"/>
  </cols>
  <sheetData>
    <row r="1" spans="1:20" ht="31.5" customHeight="1" x14ac:dyDescent="0.3">
      <c r="A1" s="4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18" customHeight="1" x14ac:dyDescent="0.3">
      <c r="A3" s="96" t="s">
        <v>128</v>
      </c>
      <c r="H3" s="97" t="s">
        <v>129</v>
      </c>
      <c r="N3" s="98" t="s">
        <v>130</v>
      </c>
      <c r="Q3" s="99" t="s">
        <v>131</v>
      </c>
    </row>
    <row r="4" spans="1:20" ht="21.75" customHeight="1" x14ac:dyDescent="0.3">
      <c r="A4" s="18" t="s">
        <v>9</v>
      </c>
      <c r="B4" s="18" t="s">
        <v>12</v>
      </c>
      <c r="C4" s="18" t="s">
        <v>13</v>
      </c>
      <c r="D4" s="18" t="s">
        <v>14</v>
      </c>
      <c r="E4" s="18" t="s">
        <v>132</v>
      </c>
      <c r="H4" s="20" t="s">
        <v>9</v>
      </c>
      <c r="I4" s="20" t="s">
        <v>133</v>
      </c>
      <c r="J4" s="20" t="s">
        <v>134</v>
      </c>
      <c r="N4" s="19" t="s">
        <v>135</v>
      </c>
      <c r="O4" s="19" t="s">
        <v>136</v>
      </c>
      <c r="Q4" s="100" t="s">
        <v>9</v>
      </c>
      <c r="R4" s="100" t="s">
        <v>137</v>
      </c>
    </row>
    <row r="5" spans="1:20" ht="16.5" customHeight="1" x14ac:dyDescent="0.3">
      <c r="A5" s="101" t="s">
        <v>39</v>
      </c>
      <c r="B5" s="25">
        <v>1691</v>
      </c>
      <c r="C5" s="25">
        <v>1864</v>
      </c>
      <c r="D5" s="25">
        <v>1681</v>
      </c>
      <c r="E5" s="25">
        <v>1782</v>
      </c>
      <c r="H5" s="102" t="s">
        <v>59</v>
      </c>
      <c r="I5" s="103">
        <v>0.80555555555555602</v>
      </c>
      <c r="J5" s="103">
        <v>0.88575658270955004</v>
      </c>
      <c r="N5" s="102" t="s">
        <v>27</v>
      </c>
      <c r="O5" s="104">
        <v>0.92200000000000004</v>
      </c>
      <c r="Q5" s="102" t="s">
        <v>43</v>
      </c>
      <c r="R5" s="105">
        <v>24651</v>
      </c>
    </row>
    <row r="6" spans="1:20" ht="16.5" customHeight="1" x14ac:dyDescent="0.3">
      <c r="A6" s="106" t="s">
        <v>43</v>
      </c>
      <c r="B6" s="107">
        <v>1951</v>
      </c>
      <c r="C6" s="107">
        <v>1811</v>
      </c>
      <c r="D6" s="107">
        <v>1844</v>
      </c>
      <c r="E6" s="107">
        <v>1744</v>
      </c>
      <c r="H6" s="102" t="s">
        <v>43</v>
      </c>
      <c r="I6" s="103">
        <v>0.77777777777777801</v>
      </c>
      <c r="J6" s="103">
        <v>0.867288557985326</v>
      </c>
      <c r="N6" s="102" t="s">
        <v>28</v>
      </c>
      <c r="O6" s="104">
        <v>0.76100000000000001</v>
      </c>
      <c r="Q6" s="102" t="s">
        <v>53</v>
      </c>
      <c r="R6" s="105">
        <v>21260</v>
      </c>
    </row>
    <row r="7" spans="1:20" ht="16.5" customHeight="1" x14ac:dyDescent="0.3">
      <c r="A7" s="101" t="s">
        <v>46</v>
      </c>
      <c r="B7" s="25">
        <v>1658</v>
      </c>
      <c r="C7" s="25">
        <v>1923</v>
      </c>
      <c r="D7" s="25">
        <v>1821</v>
      </c>
      <c r="E7" s="25">
        <v>2013</v>
      </c>
      <c r="H7" s="102" t="s">
        <v>65</v>
      </c>
      <c r="I7" s="103">
        <v>0.77777777777777801</v>
      </c>
      <c r="J7" s="103">
        <v>0.89201041282587501</v>
      </c>
      <c r="N7" s="102" t="s">
        <v>29</v>
      </c>
      <c r="O7" s="104">
        <v>0.82099999999999995</v>
      </c>
      <c r="Q7" s="102" t="s">
        <v>85</v>
      </c>
      <c r="R7" s="105">
        <v>20367</v>
      </c>
    </row>
    <row r="8" spans="1:20" ht="16.5" customHeight="1" x14ac:dyDescent="0.3">
      <c r="A8" s="106" t="s">
        <v>49</v>
      </c>
      <c r="B8" s="107">
        <v>1897</v>
      </c>
      <c r="C8" s="107">
        <v>1668</v>
      </c>
      <c r="D8" s="107">
        <v>2101</v>
      </c>
      <c r="E8" s="107">
        <v>2052</v>
      </c>
      <c r="H8" s="102" t="s">
        <v>79</v>
      </c>
      <c r="I8" s="103">
        <v>0.77777777777777801</v>
      </c>
      <c r="J8" s="103">
        <v>0.88207920854567701</v>
      </c>
      <c r="N8" s="102" t="s">
        <v>30</v>
      </c>
      <c r="O8" s="104">
        <v>1.198</v>
      </c>
      <c r="Q8" s="102" t="s">
        <v>61</v>
      </c>
      <c r="R8" s="105">
        <v>19175</v>
      </c>
    </row>
    <row r="9" spans="1:20" ht="16.5" customHeight="1" x14ac:dyDescent="0.3">
      <c r="A9" s="101" t="s">
        <v>53</v>
      </c>
      <c r="B9" s="25">
        <v>1949</v>
      </c>
      <c r="C9" s="25">
        <v>1903</v>
      </c>
      <c r="D9" s="25">
        <v>1837</v>
      </c>
      <c r="E9" s="25">
        <v>1788</v>
      </c>
      <c r="H9" s="102" t="s">
        <v>89</v>
      </c>
      <c r="I9" s="103">
        <v>0.77777777777777801</v>
      </c>
      <c r="J9" s="103">
        <v>0.87382327586627695</v>
      </c>
      <c r="N9" s="102" t="s">
        <v>31</v>
      </c>
      <c r="O9" s="104">
        <v>1.1639999999999999</v>
      </c>
      <c r="Q9" s="102" t="s">
        <v>89</v>
      </c>
      <c r="R9" s="105">
        <v>18950</v>
      </c>
    </row>
    <row r="10" spans="1:20" ht="16.5" customHeight="1" x14ac:dyDescent="0.3">
      <c r="A10" s="106" t="s">
        <v>55</v>
      </c>
      <c r="B10" s="107">
        <v>2041</v>
      </c>
      <c r="C10" s="107">
        <v>1895</v>
      </c>
      <c r="D10" s="107">
        <v>1867</v>
      </c>
      <c r="E10" s="107">
        <v>1750</v>
      </c>
      <c r="H10" s="102" t="s">
        <v>72</v>
      </c>
      <c r="I10" s="103">
        <v>0.77777777777777801</v>
      </c>
      <c r="J10" s="103">
        <v>0.87174149105862897</v>
      </c>
      <c r="N10" s="102" t="s">
        <v>32</v>
      </c>
      <c r="O10" s="104">
        <v>1.23</v>
      </c>
      <c r="Q10" s="102" t="s">
        <v>59</v>
      </c>
      <c r="R10" s="105">
        <v>18909</v>
      </c>
    </row>
    <row r="11" spans="1:20" ht="16.5" customHeight="1" x14ac:dyDescent="0.3">
      <c r="A11" s="101" t="s">
        <v>57</v>
      </c>
      <c r="B11" s="25">
        <v>1631</v>
      </c>
      <c r="C11" s="25">
        <v>1796</v>
      </c>
      <c r="D11" s="25">
        <v>1888</v>
      </c>
      <c r="E11" s="25">
        <v>2045</v>
      </c>
      <c r="H11" s="102" t="s">
        <v>49</v>
      </c>
      <c r="I11" s="103">
        <v>0.72222222222222199</v>
      </c>
      <c r="J11" s="103">
        <v>0.89393826163892298</v>
      </c>
      <c r="N11" s="102" t="s">
        <v>33</v>
      </c>
      <c r="O11" s="104">
        <v>0.93500000000000005</v>
      </c>
      <c r="Q11" s="102" t="s">
        <v>39</v>
      </c>
      <c r="R11" s="105">
        <v>17466</v>
      </c>
    </row>
    <row r="12" spans="1:20" ht="16.5" customHeight="1" x14ac:dyDescent="0.3">
      <c r="A12" s="106" t="s">
        <v>59</v>
      </c>
      <c r="B12" s="107">
        <v>1847</v>
      </c>
      <c r="C12" s="107">
        <v>1886</v>
      </c>
      <c r="D12" s="107">
        <v>1945</v>
      </c>
      <c r="E12" s="107">
        <v>1990</v>
      </c>
      <c r="H12" s="102" t="s">
        <v>85</v>
      </c>
      <c r="I12" s="103">
        <v>0.72222222222222199</v>
      </c>
      <c r="J12" s="103">
        <v>0.88705263031293402</v>
      </c>
      <c r="N12" s="102" t="s">
        <v>34</v>
      </c>
      <c r="O12" s="104">
        <v>0.99</v>
      </c>
      <c r="Q12" s="102" t="s">
        <v>65</v>
      </c>
      <c r="R12" s="105">
        <v>17352</v>
      </c>
    </row>
    <row r="13" spans="1:20" ht="16.5" customHeight="1" x14ac:dyDescent="0.3">
      <c r="A13" s="101" t="s">
        <v>61</v>
      </c>
      <c r="B13" s="25">
        <v>1938</v>
      </c>
      <c r="C13" s="25">
        <v>1805</v>
      </c>
      <c r="D13" s="25">
        <v>1695</v>
      </c>
      <c r="E13" s="25">
        <v>1573</v>
      </c>
      <c r="H13" s="102" t="s">
        <v>87</v>
      </c>
      <c r="I13" s="103">
        <v>0.72222222222222199</v>
      </c>
      <c r="J13" s="103">
        <v>0.89587262087491004</v>
      </c>
      <c r="N13" s="102" t="s">
        <v>35</v>
      </c>
      <c r="O13" s="104">
        <v>0.94499999999999995</v>
      </c>
      <c r="Q13" s="102" t="s">
        <v>49</v>
      </c>
      <c r="R13" s="105">
        <v>17344</v>
      </c>
    </row>
    <row r="14" spans="1:20" ht="16.5" customHeight="1" x14ac:dyDescent="0.3">
      <c r="A14" s="106" t="s">
        <v>65</v>
      </c>
      <c r="B14" s="107">
        <v>1933</v>
      </c>
      <c r="C14" s="107">
        <v>1701</v>
      </c>
      <c r="D14" s="107">
        <v>1709</v>
      </c>
      <c r="E14" s="107">
        <v>1536</v>
      </c>
      <c r="H14" s="102" t="s">
        <v>61</v>
      </c>
      <c r="I14" s="103">
        <v>0.72222222222222199</v>
      </c>
      <c r="J14" s="103">
        <v>0.87741081946560096</v>
      </c>
      <c r="N14" s="102" t="s">
        <v>36</v>
      </c>
      <c r="O14" s="104">
        <v>0.84199999999999997</v>
      </c>
      <c r="Q14" s="102" t="s">
        <v>67</v>
      </c>
      <c r="R14" s="105">
        <v>17201</v>
      </c>
    </row>
    <row r="15" spans="1:20" ht="16.5" customHeight="1" x14ac:dyDescent="0.3">
      <c r="A15" s="101" t="s">
        <v>67</v>
      </c>
      <c r="B15" s="25">
        <v>1838</v>
      </c>
      <c r="C15" s="25">
        <v>1672</v>
      </c>
      <c r="D15" s="25">
        <v>2049</v>
      </c>
      <c r="E15" s="25">
        <v>2028</v>
      </c>
      <c r="H15" s="102" t="s">
        <v>55</v>
      </c>
      <c r="I15" s="103">
        <v>0.72222222222222199</v>
      </c>
      <c r="J15" s="103">
        <v>0.90810461613897198</v>
      </c>
      <c r="N15" s="102" t="s">
        <v>37</v>
      </c>
      <c r="O15" s="104">
        <v>1.079</v>
      </c>
      <c r="Q15" s="102" t="s">
        <v>72</v>
      </c>
      <c r="R15" s="105">
        <v>16594</v>
      </c>
    </row>
    <row r="16" spans="1:20" ht="16.5" customHeight="1" x14ac:dyDescent="0.3">
      <c r="A16" s="106" t="s">
        <v>69</v>
      </c>
      <c r="B16" s="107">
        <v>1767</v>
      </c>
      <c r="C16" s="107">
        <v>1861</v>
      </c>
      <c r="D16" s="107">
        <v>1769</v>
      </c>
      <c r="E16" s="107">
        <v>1824</v>
      </c>
      <c r="H16" s="102" t="s">
        <v>53</v>
      </c>
      <c r="I16" s="103">
        <v>0.72222222222222199</v>
      </c>
      <c r="J16" s="103">
        <v>0.87756744019272304</v>
      </c>
      <c r="N16" s="102" t="s">
        <v>94</v>
      </c>
      <c r="O16" s="104">
        <v>1.1120000000000001</v>
      </c>
      <c r="Q16" s="102" t="s">
        <v>81</v>
      </c>
      <c r="R16" s="105">
        <v>16564</v>
      </c>
    </row>
    <row r="17" spans="1:18" ht="16.5" customHeight="1" x14ac:dyDescent="0.3">
      <c r="A17" s="101" t="s">
        <v>72</v>
      </c>
      <c r="B17" s="25">
        <v>1646</v>
      </c>
      <c r="C17" s="25">
        <v>1699</v>
      </c>
      <c r="D17" s="25">
        <v>1963</v>
      </c>
      <c r="E17" s="25">
        <v>2079</v>
      </c>
      <c r="H17" s="102" t="s">
        <v>81</v>
      </c>
      <c r="I17" s="103">
        <v>0.72222222222222199</v>
      </c>
      <c r="J17" s="103">
        <v>0.88897940771814499</v>
      </c>
      <c r="Q17" s="102" t="s">
        <v>55</v>
      </c>
      <c r="R17" s="105">
        <v>16382</v>
      </c>
    </row>
    <row r="18" spans="1:18" ht="16.5" customHeight="1" x14ac:dyDescent="0.3">
      <c r="A18" s="106" t="s">
        <v>75</v>
      </c>
      <c r="B18" s="107">
        <v>1762</v>
      </c>
      <c r="C18" s="107">
        <v>1628</v>
      </c>
      <c r="D18" s="107">
        <v>2049</v>
      </c>
      <c r="E18" s="107">
        <v>2071</v>
      </c>
      <c r="H18" s="102" t="s">
        <v>67</v>
      </c>
      <c r="I18" s="103">
        <v>0.69444444444444398</v>
      </c>
      <c r="J18" s="103">
        <v>0.88683763783006997</v>
      </c>
      <c r="Q18" s="102" t="s">
        <v>87</v>
      </c>
      <c r="R18" s="105">
        <v>16331</v>
      </c>
    </row>
    <row r="19" spans="1:18" ht="16.5" customHeight="1" x14ac:dyDescent="0.3">
      <c r="A19" s="101" t="s">
        <v>79</v>
      </c>
      <c r="B19" s="25">
        <v>1830</v>
      </c>
      <c r="C19" s="25">
        <v>1904</v>
      </c>
      <c r="D19" s="25">
        <v>2166</v>
      </c>
      <c r="E19" s="25">
        <v>2298</v>
      </c>
      <c r="H19" s="102" t="s">
        <v>75</v>
      </c>
      <c r="I19" s="103">
        <v>0.66666666666666696</v>
      </c>
      <c r="J19" s="103">
        <v>0.91572290545336599</v>
      </c>
      <c r="Q19" s="102" t="s">
        <v>79</v>
      </c>
      <c r="R19" s="105">
        <v>16069</v>
      </c>
    </row>
    <row r="20" spans="1:18" ht="16.5" customHeight="1" x14ac:dyDescent="0.3">
      <c r="A20" s="106" t="s">
        <v>81</v>
      </c>
      <c r="B20" s="107">
        <v>1722</v>
      </c>
      <c r="C20" s="107">
        <v>1631</v>
      </c>
      <c r="D20" s="107">
        <v>1837</v>
      </c>
      <c r="E20" s="107">
        <v>1819</v>
      </c>
      <c r="H20" s="102" t="s">
        <v>39</v>
      </c>
      <c r="I20" s="103">
        <v>0.63888888888888895</v>
      </c>
      <c r="J20" s="103">
        <v>0.89131684174109105</v>
      </c>
      <c r="Q20" s="102" t="s">
        <v>83</v>
      </c>
      <c r="R20" s="105">
        <v>15881</v>
      </c>
    </row>
    <row r="21" spans="1:18" ht="16.5" customHeight="1" x14ac:dyDescent="0.3">
      <c r="A21" s="101" t="s">
        <v>83</v>
      </c>
      <c r="B21" s="25">
        <v>1855</v>
      </c>
      <c r="C21" s="25">
        <v>1850</v>
      </c>
      <c r="D21" s="25">
        <v>1963</v>
      </c>
      <c r="E21" s="25">
        <v>1987</v>
      </c>
      <c r="H21" s="102" t="s">
        <v>46</v>
      </c>
      <c r="I21" s="103">
        <v>0.63888888888888895</v>
      </c>
      <c r="J21" s="103">
        <v>0.92006845058145703</v>
      </c>
      <c r="Q21" s="102" t="s">
        <v>57</v>
      </c>
      <c r="R21" s="105">
        <v>14719</v>
      </c>
    </row>
    <row r="22" spans="1:18" ht="16.5" customHeight="1" x14ac:dyDescent="0.3">
      <c r="A22" s="106" t="s">
        <v>85</v>
      </c>
      <c r="B22" s="107">
        <v>1999</v>
      </c>
      <c r="C22" s="107">
        <v>2000</v>
      </c>
      <c r="D22" s="107">
        <v>1853</v>
      </c>
      <c r="E22" s="107">
        <v>1826</v>
      </c>
      <c r="H22" s="102" t="s">
        <v>57</v>
      </c>
      <c r="I22" s="103">
        <v>0.63888888888888895</v>
      </c>
      <c r="J22" s="103">
        <v>0.90442345719209505</v>
      </c>
      <c r="Q22" s="102" t="s">
        <v>46</v>
      </c>
      <c r="R22" s="105">
        <v>14675</v>
      </c>
    </row>
    <row r="23" spans="1:18" ht="16.5" customHeight="1" x14ac:dyDescent="0.3">
      <c r="A23" s="101" t="s">
        <v>87</v>
      </c>
      <c r="B23" s="25">
        <v>1647</v>
      </c>
      <c r="C23" s="25">
        <v>1867</v>
      </c>
      <c r="D23" s="25">
        <v>1936</v>
      </c>
      <c r="E23" s="25">
        <v>2133</v>
      </c>
      <c r="H23" s="102" t="s">
        <v>69</v>
      </c>
      <c r="I23" s="103">
        <v>0.63888888888888895</v>
      </c>
      <c r="J23" s="103">
        <v>0.92548365429067803</v>
      </c>
      <c r="Q23" s="102" t="s">
        <v>75</v>
      </c>
      <c r="R23" s="105">
        <v>12281</v>
      </c>
    </row>
    <row r="24" spans="1:18" ht="16.5" customHeight="1" x14ac:dyDescent="0.3">
      <c r="A24" s="106" t="s">
        <v>89</v>
      </c>
      <c r="B24" s="107">
        <v>1798</v>
      </c>
      <c r="C24" s="107">
        <v>1792</v>
      </c>
      <c r="D24" s="107">
        <v>2009</v>
      </c>
      <c r="E24" s="107">
        <v>2061</v>
      </c>
      <c r="H24" s="102" t="s">
        <v>83</v>
      </c>
      <c r="I24" s="103">
        <v>0.61111111111111105</v>
      </c>
      <c r="J24" s="103">
        <v>0.91247663420554004</v>
      </c>
      <c r="Q24" s="102" t="s">
        <v>69</v>
      </c>
      <c r="R24" s="105">
        <v>12021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2"/>
  <sheetViews>
    <sheetView showGridLines="0" tabSelected="1"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2" width="32" customWidth="1"/>
    <col min="3" max="3" width="72" customWidth="1"/>
  </cols>
  <sheetData>
    <row r="1" spans="1:3" ht="31.5" customHeight="1" x14ac:dyDescent="0.3">
      <c r="A1" s="4" t="s">
        <v>138</v>
      </c>
      <c r="B1" s="4"/>
      <c r="C1" s="4"/>
    </row>
    <row r="2" spans="1:3" ht="15" customHeight="1" x14ac:dyDescent="0.3">
      <c r="A2" s="13" t="s">
        <v>139</v>
      </c>
      <c r="B2" s="13"/>
      <c r="C2" s="13"/>
    </row>
    <row r="3" spans="1:3" ht="25.5" customHeight="1" x14ac:dyDescent="0.3">
      <c r="B3" s="3" t="s">
        <v>140</v>
      </c>
      <c r="C3" s="3"/>
    </row>
    <row r="4" spans="1:3" ht="27.75" customHeight="1" x14ac:dyDescent="0.3">
      <c r="B4" s="108" t="s">
        <v>141</v>
      </c>
      <c r="C4" s="109" t="s">
        <v>142</v>
      </c>
    </row>
    <row r="5" spans="1:3" ht="27.75" customHeight="1" x14ac:dyDescent="0.3">
      <c r="B5" s="108" t="s">
        <v>143</v>
      </c>
      <c r="C5" s="109" t="s">
        <v>144</v>
      </c>
    </row>
    <row r="6" spans="1:3" ht="27.75" customHeight="1" x14ac:dyDescent="0.3">
      <c r="B6" s="108" t="s">
        <v>145</v>
      </c>
      <c r="C6" s="109" t="s">
        <v>146</v>
      </c>
    </row>
    <row r="7" spans="1:3" ht="27.75" customHeight="1" x14ac:dyDescent="0.3">
      <c r="B7" s="108" t="s">
        <v>147</v>
      </c>
      <c r="C7" s="109" t="s">
        <v>148</v>
      </c>
    </row>
    <row r="8" spans="1:3" ht="27.75" customHeight="1" x14ac:dyDescent="0.3">
      <c r="B8" s="108" t="s">
        <v>149</v>
      </c>
      <c r="C8" s="109" t="s">
        <v>150</v>
      </c>
    </row>
    <row r="9" spans="1:3" ht="9.75" customHeight="1" x14ac:dyDescent="0.3">
      <c r="B9" s="110"/>
      <c r="C9" s="110"/>
    </row>
    <row r="10" spans="1:3" ht="25.5" customHeight="1" x14ac:dyDescent="0.3">
      <c r="B10" s="2" t="s">
        <v>151</v>
      </c>
      <c r="C10" s="2"/>
    </row>
    <row r="11" spans="1:3" ht="27.75" customHeight="1" x14ac:dyDescent="0.3">
      <c r="B11" s="108" t="s">
        <v>152</v>
      </c>
      <c r="C11" s="109" t="s">
        <v>153</v>
      </c>
    </row>
    <row r="12" spans="1:3" ht="27.75" customHeight="1" x14ac:dyDescent="0.3">
      <c r="B12" s="108" t="s">
        <v>154</v>
      </c>
      <c r="C12" s="109" t="s">
        <v>155</v>
      </c>
    </row>
    <row r="13" spans="1:3" ht="27.75" customHeight="1" x14ac:dyDescent="0.3">
      <c r="B13" s="108" t="s">
        <v>156</v>
      </c>
      <c r="C13" s="109" t="s">
        <v>157</v>
      </c>
    </row>
    <row r="14" spans="1:3" ht="27.75" customHeight="1" x14ac:dyDescent="0.3">
      <c r="B14" s="108" t="s">
        <v>158</v>
      </c>
      <c r="C14" s="109" t="s">
        <v>159</v>
      </c>
    </row>
    <row r="15" spans="1:3" ht="27.75" customHeight="1" x14ac:dyDescent="0.3">
      <c r="B15" s="108" t="s">
        <v>160</v>
      </c>
      <c r="C15" s="109" t="s">
        <v>161</v>
      </c>
    </row>
    <row r="16" spans="1:3" ht="9.75" customHeight="1" x14ac:dyDescent="0.3">
      <c r="B16" s="110"/>
      <c r="C16" s="110"/>
    </row>
    <row r="17" spans="2:3" ht="25.5" customHeight="1" x14ac:dyDescent="0.3">
      <c r="B17" s="1" t="s">
        <v>162</v>
      </c>
      <c r="C17" s="1"/>
    </row>
    <row r="18" spans="2:3" ht="27.75" customHeight="1" x14ac:dyDescent="0.3">
      <c r="B18" s="108" t="s">
        <v>163</v>
      </c>
      <c r="C18" s="109" t="s">
        <v>164</v>
      </c>
    </row>
    <row r="19" spans="2:3" ht="27.75" customHeight="1" x14ac:dyDescent="0.3">
      <c r="B19" s="108" t="s">
        <v>165</v>
      </c>
      <c r="C19" s="109" t="s">
        <v>166</v>
      </c>
    </row>
    <row r="20" spans="2:3" ht="27.75" customHeight="1" x14ac:dyDescent="0.3">
      <c r="B20" s="108" t="s">
        <v>167</v>
      </c>
      <c r="C20" s="109" t="s">
        <v>168</v>
      </c>
    </row>
    <row r="21" spans="2:3" ht="27.75" customHeight="1" x14ac:dyDescent="0.3">
      <c r="B21" s="108" t="s">
        <v>169</v>
      </c>
      <c r="C21" s="109" t="s">
        <v>170</v>
      </c>
    </row>
    <row r="22" spans="2:3" ht="27.75" customHeight="1" x14ac:dyDescent="0.3">
      <c r="B22" s="108" t="s">
        <v>171</v>
      </c>
      <c r="C22" s="109" t="s">
        <v>172</v>
      </c>
    </row>
    <row r="23" spans="2:3" ht="27.75" customHeight="1" x14ac:dyDescent="0.3">
      <c r="B23" s="108" t="s">
        <v>173</v>
      </c>
      <c r="C23" s="109" t="s">
        <v>174</v>
      </c>
    </row>
    <row r="24" spans="2:3" ht="27.75" customHeight="1" x14ac:dyDescent="0.3">
      <c r="B24" s="108" t="s">
        <v>175</v>
      </c>
      <c r="C24" s="109" t="s">
        <v>176</v>
      </c>
    </row>
    <row r="25" spans="2:3" ht="9.75" customHeight="1" x14ac:dyDescent="0.3">
      <c r="B25" s="110"/>
      <c r="C25" s="110"/>
    </row>
    <row r="26" spans="2:3" ht="25.5" customHeight="1" x14ac:dyDescent="0.3">
      <c r="B26" s="111" t="s">
        <v>177</v>
      </c>
      <c r="C26" s="111"/>
    </row>
    <row r="27" spans="2:3" ht="27.75" customHeight="1" x14ac:dyDescent="0.3">
      <c r="B27" s="108" t="s">
        <v>163</v>
      </c>
      <c r="C27" s="109" t="s">
        <v>178</v>
      </c>
    </row>
    <row r="28" spans="2:3" ht="27.75" customHeight="1" x14ac:dyDescent="0.3">
      <c r="B28" s="108" t="s">
        <v>179</v>
      </c>
      <c r="C28" s="109" t="s">
        <v>180</v>
      </c>
    </row>
    <row r="29" spans="2:3" ht="27.75" customHeight="1" x14ac:dyDescent="0.3">
      <c r="B29" s="108" t="s">
        <v>181</v>
      </c>
      <c r="C29" s="109" t="s">
        <v>182</v>
      </c>
    </row>
    <row r="30" spans="2:3" ht="27.75" customHeight="1" x14ac:dyDescent="0.3">
      <c r="B30" s="108" t="s">
        <v>183</v>
      </c>
      <c r="C30" s="109" t="s">
        <v>184</v>
      </c>
    </row>
    <row r="31" spans="2:3" ht="27.75" customHeight="1" x14ac:dyDescent="0.3">
      <c r="B31" s="108" t="s">
        <v>185</v>
      </c>
      <c r="C31" s="109" t="s">
        <v>186</v>
      </c>
    </row>
    <row r="32" spans="2:3" ht="27.75" customHeight="1" x14ac:dyDescent="0.3">
      <c r="B32" s="108" t="s">
        <v>187</v>
      </c>
      <c r="C32" s="109" t="s">
        <v>188</v>
      </c>
    </row>
    <row r="33" spans="2:3" ht="27.75" customHeight="1" x14ac:dyDescent="0.3">
      <c r="B33" s="108" t="s">
        <v>189</v>
      </c>
      <c r="C33" s="109" t="s">
        <v>190</v>
      </c>
    </row>
    <row r="34" spans="2:3" ht="9.75" customHeight="1" x14ac:dyDescent="0.3">
      <c r="B34" s="110"/>
      <c r="C34" s="110"/>
    </row>
    <row r="35" spans="2:3" ht="25.5" customHeight="1" x14ac:dyDescent="0.3">
      <c r="B35" s="2" t="s">
        <v>191</v>
      </c>
      <c r="C35" s="2"/>
    </row>
    <row r="36" spans="2:3" ht="27.75" customHeight="1" x14ac:dyDescent="0.3">
      <c r="B36" s="108" t="s">
        <v>152</v>
      </c>
      <c r="C36" s="109" t="s">
        <v>192</v>
      </c>
    </row>
    <row r="37" spans="2:3" ht="27.75" customHeight="1" x14ac:dyDescent="0.3">
      <c r="B37" s="108" t="s">
        <v>193</v>
      </c>
      <c r="C37" s="109" t="s">
        <v>194</v>
      </c>
    </row>
    <row r="38" spans="2:3" ht="27.75" customHeight="1" x14ac:dyDescent="0.3">
      <c r="B38" s="108" t="s">
        <v>195</v>
      </c>
      <c r="C38" s="109" t="s">
        <v>196</v>
      </c>
    </row>
    <row r="39" spans="2:3" ht="9.75" customHeight="1" x14ac:dyDescent="0.3">
      <c r="B39" s="110"/>
      <c r="C39" s="110"/>
    </row>
    <row r="40" spans="2:3" ht="25.5" customHeight="1" x14ac:dyDescent="0.3">
      <c r="B40" s="2" t="s">
        <v>197</v>
      </c>
      <c r="C40" s="2"/>
    </row>
    <row r="41" spans="2:3" ht="27.75" customHeight="1" x14ac:dyDescent="0.3">
      <c r="B41" s="108" t="s">
        <v>152</v>
      </c>
      <c r="C41" s="109" t="s">
        <v>198</v>
      </c>
    </row>
    <row r="42" spans="2:3" ht="27.75" customHeight="1" x14ac:dyDescent="0.3">
      <c r="B42" s="108" t="s">
        <v>199</v>
      </c>
      <c r="C42" s="109" t="s">
        <v>200</v>
      </c>
    </row>
    <row r="43" spans="2:3" ht="27.75" customHeight="1" x14ac:dyDescent="0.3">
      <c r="B43" s="108" t="s">
        <v>201</v>
      </c>
      <c r="C43" s="109" t="s">
        <v>202</v>
      </c>
    </row>
    <row r="44" spans="2:3" ht="9.75" customHeight="1" x14ac:dyDescent="0.3">
      <c r="B44" s="110"/>
      <c r="C44" s="110"/>
    </row>
    <row r="45" spans="2:3" ht="25.5" customHeight="1" x14ac:dyDescent="0.3">
      <c r="B45" s="112" t="s">
        <v>203</v>
      </c>
      <c r="C45" s="112"/>
    </row>
    <row r="46" spans="2:3" ht="27.75" customHeight="1" x14ac:dyDescent="0.3">
      <c r="B46" s="108" t="s">
        <v>152</v>
      </c>
      <c r="C46" s="109" t="s">
        <v>204</v>
      </c>
    </row>
    <row r="47" spans="2:3" ht="27.75" customHeight="1" x14ac:dyDescent="0.3">
      <c r="B47" s="108" t="s">
        <v>163</v>
      </c>
      <c r="C47" s="109" t="s">
        <v>205</v>
      </c>
    </row>
    <row r="48" spans="2:3" ht="27.75" customHeight="1" x14ac:dyDescent="0.3">
      <c r="B48" s="108" t="s">
        <v>206</v>
      </c>
      <c r="C48" s="109" t="s">
        <v>207</v>
      </c>
    </row>
    <row r="49" spans="2:3" ht="27.75" customHeight="1" x14ac:dyDescent="0.3">
      <c r="B49" s="108" t="s">
        <v>208</v>
      </c>
      <c r="C49" s="109" t="s">
        <v>209</v>
      </c>
    </row>
    <row r="50" spans="2:3" ht="9.75" customHeight="1" x14ac:dyDescent="0.3">
      <c r="B50" s="110"/>
      <c r="C50" s="110"/>
    </row>
    <row r="51" spans="2:3" ht="25.5" customHeight="1" x14ac:dyDescent="0.3">
      <c r="B51" s="112" t="s">
        <v>210</v>
      </c>
      <c r="C51" s="112"/>
    </row>
    <row r="52" spans="2:3" ht="27.75" customHeight="1" x14ac:dyDescent="0.3">
      <c r="B52" s="108" t="s">
        <v>152</v>
      </c>
      <c r="C52" s="109" t="s">
        <v>211</v>
      </c>
    </row>
    <row r="53" spans="2:3" ht="27.75" customHeight="1" x14ac:dyDescent="0.3">
      <c r="B53" s="108" t="s">
        <v>212</v>
      </c>
      <c r="C53" s="109" t="s">
        <v>213</v>
      </c>
    </row>
    <row r="54" spans="2:3" ht="27.75" customHeight="1" x14ac:dyDescent="0.3">
      <c r="B54" s="108" t="s">
        <v>214</v>
      </c>
      <c r="C54" s="109" t="s">
        <v>215</v>
      </c>
    </row>
    <row r="55" spans="2:3" ht="9.75" customHeight="1" x14ac:dyDescent="0.3">
      <c r="B55" s="110"/>
      <c r="C55" s="110"/>
    </row>
    <row r="56" spans="2:3" ht="25.5" customHeight="1" x14ac:dyDescent="0.3">
      <c r="B56" s="113" t="s">
        <v>216</v>
      </c>
      <c r="C56" s="113"/>
    </row>
    <row r="57" spans="2:3" ht="27.75" customHeight="1" x14ac:dyDescent="0.3">
      <c r="B57" s="108" t="s">
        <v>152</v>
      </c>
      <c r="C57" s="109" t="s">
        <v>217</v>
      </c>
    </row>
    <row r="58" spans="2:3" ht="27.75" customHeight="1" x14ac:dyDescent="0.3">
      <c r="B58" s="108" t="s">
        <v>218</v>
      </c>
      <c r="C58" s="109" t="s">
        <v>219</v>
      </c>
    </row>
    <row r="59" spans="2:3" ht="9.75" customHeight="1" x14ac:dyDescent="0.3">
      <c r="B59" s="110"/>
      <c r="C59" s="110"/>
    </row>
    <row r="60" spans="2:3" ht="25.5" customHeight="1" x14ac:dyDescent="0.3">
      <c r="B60" s="114" t="s">
        <v>220</v>
      </c>
      <c r="C60" s="114"/>
    </row>
    <row r="61" spans="2:3" ht="27.75" customHeight="1" x14ac:dyDescent="0.3">
      <c r="B61" s="108" t="s">
        <v>77</v>
      </c>
      <c r="C61" s="109" t="s">
        <v>221</v>
      </c>
    </row>
    <row r="62" spans="2:3" ht="27.75" customHeight="1" x14ac:dyDescent="0.3">
      <c r="B62" s="108" t="s">
        <v>51</v>
      </c>
      <c r="C62" s="109" t="s">
        <v>222</v>
      </c>
    </row>
    <row r="63" spans="2:3" ht="27.75" customHeight="1" x14ac:dyDescent="0.3">
      <c r="B63" s="108" t="s">
        <v>41</v>
      </c>
      <c r="C63" s="109" t="s">
        <v>223</v>
      </c>
    </row>
    <row r="64" spans="2:3" ht="27.75" customHeight="1" x14ac:dyDescent="0.3">
      <c r="B64" s="108" t="s">
        <v>63</v>
      </c>
      <c r="C64" s="109" t="s">
        <v>224</v>
      </c>
    </row>
    <row r="65" spans="2:3" ht="27.75" customHeight="1" x14ac:dyDescent="0.3">
      <c r="B65" s="108" t="s">
        <v>225</v>
      </c>
      <c r="C65" s="109" t="s">
        <v>226</v>
      </c>
    </row>
    <row r="66" spans="2:3" ht="9.75" customHeight="1" x14ac:dyDescent="0.3">
      <c r="B66" s="110"/>
      <c r="C66" s="110"/>
    </row>
    <row r="67" spans="2:3" ht="25.5" customHeight="1" x14ac:dyDescent="0.3">
      <c r="B67" s="113" t="s">
        <v>227</v>
      </c>
      <c r="C67" s="113"/>
    </row>
    <row r="68" spans="2:3" ht="27.75" customHeight="1" x14ac:dyDescent="0.3">
      <c r="B68" s="108" t="s">
        <v>228</v>
      </c>
      <c r="C68" s="109" t="s">
        <v>229</v>
      </c>
    </row>
    <row r="69" spans="2:3" ht="27.75" customHeight="1" x14ac:dyDescent="0.3">
      <c r="B69" s="108" t="s">
        <v>230</v>
      </c>
      <c r="C69" s="109" t="s">
        <v>231</v>
      </c>
    </row>
    <row r="70" spans="2:3" ht="27.75" customHeight="1" x14ac:dyDescent="0.3">
      <c r="B70" s="108" t="s">
        <v>232</v>
      </c>
      <c r="C70" s="109" t="s">
        <v>233</v>
      </c>
    </row>
    <row r="71" spans="2:3" ht="27.75" customHeight="1" x14ac:dyDescent="0.3">
      <c r="B71" s="108" t="s">
        <v>234</v>
      </c>
      <c r="C71" s="109" t="s">
        <v>235</v>
      </c>
    </row>
    <row r="72" spans="2:3" ht="27.75" customHeight="1" x14ac:dyDescent="0.3">
      <c r="B72" s="108" t="s">
        <v>236</v>
      </c>
      <c r="C72" s="109" t="s">
        <v>237</v>
      </c>
    </row>
    <row r="73" spans="2:3" ht="9.75" customHeight="1" x14ac:dyDescent="0.3">
      <c r="B73" s="110"/>
      <c r="C73" s="110"/>
    </row>
    <row r="74" spans="2:3" ht="25.5" customHeight="1" x14ac:dyDescent="0.3">
      <c r="B74" s="111" t="s">
        <v>238</v>
      </c>
      <c r="C74" s="111"/>
    </row>
    <row r="75" spans="2:3" ht="27.75" customHeight="1" x14ac:dyDescent="0.3">
      <c r="B75" s="108" t="s">
        <v>239</v>
      </c>
      <c r="C75" s="109" t="s">
        <v>240</v>
      </c>
    </row>
    <row r="76" spans="2:3" ht="27.75" customHeight="1" x14ac:dyDescent="0.3">
      <c r="B76" s="108" t="s">
        <v>241</v>
      </c>
      <c r="C76" s="109" t="s">
        <v>242</v>
      </c>
    </row>
    <row r="77" spans="2:3" ht="27.75" customHeight="1" x14ac:dyDescent="0.3">
      <c r="B77" s="108" t="s">
        <v>243</v>
      </c>
      <c r="C77" s="109" t="s">
        <v>244</v>
      </c>
    </row>
    <row r="78" spans="2:3" ht="27.75" customHeight="1" x14ac:dyDescent="0.3">
      <c r="B78" s="108" t="s">
        <v>245</v>
      </c>
      <c r="C78" s="109" t="s">
        <v>246</v>
      </c>
    </row>
    <row r="79" spans="2:3" ht="27.75" customHeight="1" x14ac:dyDescent="0.3">
      <c r="B79" s="108" t="s">
        <v>247</v>
      </c>
      <c r="C79" s="109" t="s">
        <v>248</v>
      </c>
    </row>
    <row r="80" spans="2:3" ht="27.75" customHeight="1" x14ac:dyDescent="0.3">
      <c r="B80" s="108" t="s">
        <v>249</v>
      </c>
      <c r="C80" s="109" t="s">
        <v>250</v>
      </c>
    </row>
    <row r="81" spans="2:3" ht="27.75" customHeight="1" x14ac:dyDescent="0.3">
      <c r="B81" s="108" t="s">
        <v>251</v>
      </c>
      <c r="C81" s="109" t="s">
        <v>252</v>
      </c>
    </row>
    <row r="82" spans="2:3" ht="27.75" customHeight="1" x14ac:dyDescent="0.3">
      <c r="B82" s="108" t="s">
        <v>253</v>
      </c>
      <c r="C82" s="109" t="s">
        <v>254</v>
      </c>
    </row>
  </sheetData>
  <mergeCells count="14">
    <mergeCell ref="B56:C56"/>
    <mergeCell ref="B60:C60"/>
    <mergeCell ref="B67:C67"/>
    <mergeCell ref="B74:C74"/>
    <mergeCell ref="B26:C26"/>
    <mergeCell ref="B35:C35"/>
    <mergeCell ref="B40:C40"/>
    <mergeCell ref="B45:C45"/>
    <mergeCell ref="B51:C51"/>
    <mergeCell ref="A1:C1"/>
    <mergeCell ref="A2:C2"/>
    <mergeCell ref="B3:C3"/>
    <mergeCell ref="B10:C10"/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Forecast Dashboard</vt:lpstr>
      <vt:lpstr>🌊 Seasonality Heatmap</vt:lpstr>
      <vt:lpstr>⚠️ Stockout Intelligence</vt:lpstr>
      <vt:lpstr>📦 Category Summary</vt:lpstr>
      <vt:lpstr>📈 Charts</vt:lpstr>
      <vt:lpstr>📋 Full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2026-03-22T09:42:51Z</dcterms:created>
  <dcterms:modified xsi:type="dcterms:W3CDTF">2026-03-22T16:03:43Z</dcterms:modified>
  <dc:language>en-US</dc:language>
</cp:coreProperties>
</file>